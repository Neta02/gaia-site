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cture" sheetId="1" state="visible" r:id="rId1"/>
    <sheet name="Événements" sheetId="2" state="visible" r:id="rId2"/>
    <sheet name="Synthèse" sheetId="3" state="visible" r:id="rId3"/>
    <sheet name="Exclusions" sheetId="4" state="visible" r:id="rId4"/>
    <sheet name="À surveiller" sheetId="5" state="visible" r:id="rId5"/>
    <sheet name="Conflits sources" sheetId="6" state="visible" r:id="rId6"/>
  </sheets>
  <definedNames>
    <definedName name="_xlnm._FilterDatabase" localSheetId="1" hidden="1">'Événements'!$A$1:$AW$239</definedName>
    <definedName name="_xlnm._FilterDatabase" localSheetId="3" hidden="1">'Exclusions'!$A$1:$D$147</definedName>
    <definedName name="_xlnm._FilterDatabase" localSheetId="4" hidden="1">'À surveiller'!$A$1:$F$18</definedName>
    <definedName name="_xlnm._FilterDatabase" localSheetId="5" hidden="1">'Conflits sources'!$A$1:$B$10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i val="1"/>
      <color rgb="00595959"/>
      <sz val="10"/>
    </font>
    <font>
      <name val="Arial"/>
      <b val="1"/>
      <sz val="10"/>
    </font>
    <font>
      <name val="Arial"/>
      <sz val="10"/>
    </font>
    <font>
      <name val="Arial"/>
      <b val="1"/>
      <color rgb="00FFFFFF"/>
      <sz val="10"/>
    </font>
  </fonts>
  <fills count="5">
    <fill>
      <patternFill/>
    </fill>
    <fill>
      <patternFill patternType="gray125"/>
    </fill>
    <fill>
      <patternFill patternType="solid">
        <fgColor rgb="00DDEBF7"/>
      </patternFill>
    </fill>
    <fill>
      <patternFill patternType="solid">
        <fgColor rgb="00FFF2CC"/>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horizontal="center" vertical="top"/>
    </xf>
    <xf numFmtId="0" fontId="4" fillId="0" borderId="0" applyAlignment="1" pivotButton="0" quotePrefix="0" xfId="0">
      <alignment vertical="top" wrapText="1"/>
    </xf>
    <xf numFmtId="0" fontId="4" fillId="0" borderId="0" applyAlignment="1" pivotButton="0" quotePrefix="0" xfId="0">
      <alignment vertical="top"/>
    </xf>
    <xf numFmtId="0" fontId="4" fillId="2" borderId="1" applyAlignment="1" pivotButton="0" quotePrefix="0" xfId="0">
      <alignment vertical="top"/>
    </xf>
    <xf numFmtId="0" fontId="4" fillId="3" borderId="1" applyAlignment="1" pivotButton="0" quotePrefix="0" xfId="0">
      <alignment vertical="top"/>
    </xf>
    <xf numFmtId="0" fontId="5" fillId="4" borderId="0" applyAlignment="1" pivotButton="0" quotePrefix="0" xfId="0">
      <alignment vertical="center" wrapText="1"/>
    </xf>
    <xf numFmtId="0" fontId="4" fillId="0" borderId="1" applyAlignment="1" pivotButton="0" quotePrefix="0" xfId="0">
      <alignment vertical="top"/>
    </xf>
    <xf numFmtId="0" fontId="4" fillId="0" borderId="1" applyAlignment="1" pivotButton="0" quotePrefix="0" xfId="0">
      <alignment vertical="top" wrapText="1"/>
    </xf>
    <xf numFmtId="0" fontId="4" fillId="2" borderId="1" applyAlignment="1" pivotButton="0" quotePrefix="0" xfId="0">
      <alignment vertical="top" wrapText="1"/>
    </xf>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6" customWidth="1" min="1" max="1"/>
    <col width="52" customWidth="1" min="2" max="2"/>
    <col width="6" customWidth="1" min="3" max="3"/>
    <col width="46" customWidth="1" min="4" max="4"/>
  </cols>
  <sheetData>
    <row r="1">
      <c r="A1" s="1" t="inlineStr">
        <is>
          <t>Événements professionnels en Île-de-France — 15 septembre au 31 décembre 2026</t>
        </is>
      </c>
    </row>
    <row r="2">
      <c r="A2" s="2" t="inlineStr">
        <is>
          <t>Base construite pour Noezya. Toutes les sources ont été consultées le 15/09/2026.</t>
        </is>
      </c>
    </row>
    <row r="4">
      <c r="A4" s="3" t="inlineStr">
        <is>
          <t>À LIRE AVANT D'UTILISER LA BASE</t>
        </is>
      </c>
    </row>
    <row r="5" ht="42" customHeight="1">
      <c r="A5" s="4" t="inlineStr">
        <is>
          <t>•</t>
        </is>
      </c>
      <c r="B5" s="5" t="inlineStr">
        <is>
          <t>Les colonnes se lisent en deux familles. Les colonnes « _source » ne contiennent QUE ce qui a été publié par l'organisateur : une cellule vide y signifie « rien de publié ». Les colonnes « _complete » sont remplies à 100 %, avec du sourcé quand il existe et de l'estimé sinon.</t>
        </is>
      </c>
    </row>
    <row r="6" ht="42" customHeight="1">
      <c r="A6" s="4" t="inlineStr">
        <is>
          <t>•</t>
        </is>
      </c>
      <c r="B6" s="5" t="inlineStr">
        <is>
          <t>Les colonnes « _origine » disent laquelle des deux : constaté, déduit ou estimé. Les cellules « estimé » sont surlignées en jaune clair. Filtrer une colonne d'origine sur « constaté » restitue exactement la base avant estimation.</t>
        </is>
      </c>
    </row>
    <row r="7" ht="42" customHeight="1">
      <c r="A7" s="4" t="inlineStr">
        <is>
          <t>•</t>
        </is>
      </c>
      <c r="B7" s="5" t="inlineStr">
        <is>
          <t>Les colonnes « _base » expliquent en clair sur quoi repose chaque estimation, et « taille_confiance » donne son niveau (haute / moyenne / faible).</t>
        </is>
      </c>
    </row>
    <row r="8" ht="42" customHeight="1">
      <c r="A8" s="4" t="inlineStr">
        <is>
          <t>•</t>
        </is>
      </c>
      <c r="B8" s="5" t="inlineStr">
        <is>
          <t>Ne pas se fier aux 10 estimations en confiance faible : elles sortent toutes à « 100 à 500 participants », ce qui est un aveu d'ignorance déguisé en fourchette.</t>
        </is>
      </c>
    </row>
    <row r="9" ht="42" customHeight="1">
      <c r="A9" s="4" t="inlineStr">
        <is>
          <t>•</t>
        </is>
      </c>
      <c r="B9" s="5" t="inlineStr">
        <is>
          <t>L'axe 2 estimé (120 lignes) vaut peu : toutes ces lignes sont ramenées au code 0, dont 113 parce que l'événement n'a objectivement aucune dimension logicielle. Pour filtrer sur l'axe logiciel, filtrer d'abord axe2_origine sur « constaté ».</t>
        </is>
      </c>
    </row>
    <row r="10" ht="42" customHeight="1">
      <c r="A10" s="4" t="inlineStr">
        <is>
          <t>•</t>
        </is>
      </c>
      <c r="B10" s="5" t="inlineStr">
        <is>
          <t>Onglet « Conflits sources » : 9 écarts de dates ou de lieux entre sources, non tranchés. Quatre portent sur des événements d'une seule journée — s'y tromper, c'est les manquer.</t>
        </is>
      </c>
    </row>
    <row r="12">
      <c r="A12" s="3" t="inlineStr">
        <is>
          <t>AXE 1 — Secteur (1 ou 2 valeurs, séparées par |)</t>
        </is>
      </c>
      <c r="C12" s="3" t="inlineStr">
        <is>
          <t>AXE 4 — Type de participants (1 ou 2 valeurs)</t>
        </is>
      </c>
    </row>
    <row r="13">
      <c r="A13" s="6" t="n">
        <v>0</v>
      </c>
      <c r="B13" s="6" t="inlineStr">
        <is>
          <t>Générique / Transversal</t>
        </is>
      </c>
      <c r="C13" s="6" t="n">
        <v>1</v>
      </c>
      <c r="D13" s="6" t="inlineStr">
        <is>
          <t>Décideurs PME/ETI</t>
        </is>
      </c>
    </row>
    <row r="14">
      <c r="A14" s="6" t="n">
        <v>1</v>
      </c>
      <c r="B14" s="6" t="inlineStr">
        <is>
          <t>Luxe / Mode / Beauté / Joaillerie</t>
        </is>
      </c>
      <c r="C14" s="6" t="n">
        <v>2</v>
      </c>
      <c r="D14" s="6" t="inlineStr">
        <is>
          <t>Décideurs Grands comptes</t>
        </is>
      </c>
    </row>
    <row r="15">
      <c r="A15" s="6" t="n">
        <v>2</v>
      </c>
      <c r="B15" s="6" t="inlineStr">
        <is>
          <t>Immobilier / Construction / BTP</t>
        </is>
      </c>
      <c r="C15" s="6" t="n">
        <v>3</v>
      </c>
      <c r="D15" s="6" t="inlineStr">
        <is>
          <t>Opérationnels / Utilisateurs métier</t>
        </is>
      </c>
    </row>
    <row r="16">
      <c r="A16" s="6" t="n">
        <v>3</v>
      </c>
      <c r="B16" s="6" t="inlineStr">
        <is>
          <t>Industrie / Manufacturing / Automobile / Aéro</t>
        </is>
      </c>
      <c r="C16" s="6" t="n">
        <v>4</v>
      </c>
      <c r="D16" s="6" t="inlineStr">
        <is>
          <t>Partenaires / Prescripteurs / Consultants</t>
        </is>
      </c>
    </row>
    <row r="17">
      <c r="A17" s="6" t="n">
        <v>4</v>
      </c>
      <c r="B17" s="6" t="inlineStr">
        <is>
          <t>Tech / IT / Logiciels / Télécom</t>
        </is>
      </c>
      <c r="C17" s="6" t="n">
        <v>5</v>
      </c>
      <c r="D17" s="6" t="inlineStr">
        <is>
          <t>Pairs / Concurrents / Acteurs de l'offre</t>
        </is>
      </c>
    </row>
    <row r="18">
      <c r="A18" s="6" t="n">
        <v>5</v>
      </c>
      <c r="B18" s="6" t="inlineStr">
        <is>
          <t>Commerce / Distribution / E-commerce</t>
        </is>
      </c>
      <c r="C18" s="6" t="n">
        <v>6</v>
      </c>
      <c r="D18" s="6" t="inlineStr">
        <is>
          <t>Investisseurs / Écosystème financement</t>
        </is>
      </c>
    </row>
    <row r="19">
      <c r="A19" s="6" t="n">
        <v>6</v>
      </c>
      <c r="B19" s="6" t="inlineStr">
        <is>
          <t>Agroalimentaire / Agriculture</t>
        </is>
      </c>
      <c r="C19" s="6" t="n">
        <v>7</v>
      </c>
      <c r="D19" s="6" t="inlineStr">
        <is>
          <t>Experts / Associations professionnelles</t>
        </is>
      </c>
    </row>
    <row r="20">
      <c r="A20" s="6" t="n">
        <v>7</v>
      </c>
      <c r="B20" s="6" t="inlineStr">
        <is>
          <t>Santé / Pharma / Biotech / Medtech</t>
        </is>
      </c>
      <c r="C20" s="6" t="n">
        <v>8</v>
      </c>
      <c r="D20" s="6" t="inlineStr">
        <is>
          <t>Journalistes / Médias</t>
        </is>
      </c>
    </row>
    <row r="21">
      <c r="A21" s="6" t="n">
        <v>8</v>
      </c>
      <c r="B21" s="6" t="inlineStr">
        <is>
          <t>Finance / Banque / Assurance</t>
        </is>
      </c>
      <c r="C21" s="6" t="n">
        <v>9</v>
      </c>
      <c r="D21" s="6" t="inlineStr">
        <is>
          <t>Institutionnels / Secteur public</t>
        </is>
      </c>
    </row>
    <row r="22">
      <c r="A22" s="6" t="n">
        <v>9</v>
      </c>
      <c r="B22" s="6" t="inlineStr">
        <is>
          <t>Services pro / Conseil / Juridique / Compta</t>
        </is>
      </c>
      <c r="C22" s="6" t="n">
        <v>10</v>
      </c>
      <c r="D22" s="6" t="inlineStr">
        <is>
          <t>Étudiants / Jeunes diplômés</t>
        </is>
      </c>
    </row>
    <row r="23">
      <c r="A23" s="6" t="n">
        <v>10</v>
      </c>
      <c r="B23" s="6" t="inlineStr">
        <is>
          <t>Transport / Logistique / Supply Chain</t>
        </is>
      </c>
    </row>
    <row r="24">
      <c r="A24" s="6" t="n">
        <v>11</v>
      </c>
      <c r="B24" s="6" t="inlineStr">
        <is>
          <t>Énergie / Environnement / Utilities</t>
        </is>
      </c>
    </row>
    <row r="25">
      <c r="A25" s="6" t="n">
        <v>12</v>
      </c>
      <c r="B25" s="6" t="inlineStr">
        <is>
          <t>Éducation / Formation</t>
        </is>
      </c>
    </row>
    <row r="26">
      <c r="A26" s="6" t="n">
        <v>13</v>
      </c>
      <c r="B26" s="6" t="inlineStr">
        <is>
          <t>Secteur public / Collectivités</t>
        </is>
      </c>
    </row>
    <row r="27">
      <c r="A27" s="6" t="n">
        <v>14</v>
      </c>
      <c r="B27" s="6" t="inlineStr">
        <is>
          <t>Hôtellerie / Restauration / Tourisme</t>
        </is>
      </c>
    </row>
    <row r="28">
      <c r="A28" s="6" t="n">
        <v>15</v>
      </c>
      <c r="B28" s="6" t="inlineStr">
        <is>
          <t>Médias / Communication / Culture</t>
        </is>
      </c>
    </row>
    <row r="29">
      <c r="A29" s="6" t="n">
        <v>16</v>
      </c>
      <c r="B29" s="6" t="inlineStr">
        <is>
          <t>IA / Intelligence artificielle</t>
        </is>
      </c>
    </row>
    <row r="31">
      <c r="A31" s="3" t="inlineStr">
        <is>
          <t>AXE 2 — Logiciel (valeur unique)</t>
        </is>
      </c>
    </row>
    <row r="32">
      <c r="A32" s="6" t="n">
        <v>0</v>
      </c>
      <c r="B32" s="6" t="inlineStr">
        <is>
          <t>Générique / Multi-éditeurs / Sans dominante</t>
        </is>
      </c>
      <c r="C32" s="3" t="inlineStr">
        <is>
          <t>AXE 3 — Nombre de participants</t>
        </is>
      </c>
    </row>
    <row r="33">
      <c r="A33" s="6" t="n">
        <v>1</v>
      </c>
      <c r="B33" s="6" t="inlineStr">
        <is>
          <t>ERP / Gestion intégrée</t>
        </is>
      </c>
      <c r="C33" s="6" t="n">
        <v>1</v>
      </c>
      <c r="D33" s="6" t="inlineStr">
        <is>
          <t>1 à 15</t>
        </is>
      </c>
    </row>
    <row r="34">
      <c r="A34" s="6" t="n">
        <v>2</v>
      </c>
      <c r="B34" s="6" t="inlineStr">
        <is>
          <t>CRM / Vente / Relation client</t>
        </is>
      </c>
      <c r="C34" s="6" t="n">
        <v>2</v>
      </c>
      <c r="D34" s="6" t="inlineStr">
        <is>
          <t>16 à 40</t>
        </is>
      </c>
    </row>
    <row r="35">
      <c r="A35" s="6" t="n">
        <v>3</v>
      </c>
      <c r="B35" s="6" t="inlineStr">
        <is>
          <t>Finance / Comptabilité / Trésorerie / Facturation</t>
        </is>
      </c>
      <c r="C35" s="6" t="n">
        <v>3</v>
      </c>
      <c r="D35" s="6" t="inlineStr">
        <is>
          <t>41 à 120</t>
        </is>
      </c>
    </row>
    <row r="36">
      <c r="A36" s="6" t="n">
        <v>4</v>
      </c>
      <c r="B36" s="6" t="inlineStr">
        <is>
          <t>RH / Paie / SIRH</t>
        </is>
      </c>
      <c r="C36" s="6" t="n">
        <v>4</v>
      </c>
      <c r="D36" s="6" t="inlineStr">
        <is>
          <t>121 à 400</t>
        </is>
      </c>
    </row>
    <row r="37">
      <c r="A37" s="6" t="n">
        <v>5</v>
      </c>
      <c r="B37" s="6" t="inlineStr">
        <is>
          <t>GED / Dématérialisation / Workflow</t>
        </is>
      </c>
      <c r="C37" s="6" t="n">
        <v>5</v>
      </c>
      <c r="D37" s="6" t="inlineStr">
        <is>
          <t>401 à 2 000</t>
        </is>
      </c>
    </row>
    <row r="38">
      <c r="A38" s="6" t="n">
        <v>6</v>
      </c>
      <c r="B38" s="6" t="inlineStr">
        <is>
          <t>Supply Chain / Achats / WMS / Logistique</t>
        </is>
      </c>
      <c r="C38" s="6" t="n">
        <v>6</v>
      </c>
      <c r="D38" s="6" t="inlineStr">
        <is>
          <t>plus de 2 000</t>
        </is>
      </c>
    </row>
    <row r="39">
      <c r="A39" s="6" t="n">
        <v>7</v>
      </c>
      <c r="B39" s="6" t="inlineStr">
        <is>
          <t>E-commerce / Commerce digital / Marketplace</t>
        </is>
      </c>
    </row>
    <row r="40">
      <c r="A40" s="6" t="n">
        <v>8</v>
      </c>
      <c r="B40" s="6" t="inlineStr">
        <is>
          <t>PLM / CAO / Ingénierie / Conception</t>
        </is>
      </c>
      <c r="C40" s="3" t="inlineStr">
        <is>
          <t>AXE 5 — Accessibilité</t>
        </is>
      </c>
    </row>
    <row r="41">
      <c r="A41" s="6" t="n">
        <v>9</v>
      </c>
      <c r="B41" s="6" t="inlineStr">
        <is>
          <t>Data / BI / Analytics</t>
        </is>
      </c>
      <c r="C41" s="6" t="n">
        <v>1</v>
      </c>
      <c r="D41" s="6" t="inlineStr">
        <is>
          <t>Facile — accès ouvert sans filtre réel</t>
        </is>
      </c>
    </row>
    <row r="42">
      <c r="A42" s="6" t="n">
        <v>10</v>
      </c>
      <c r="B42" s="6" t="inlineStr">
        <is>
          <t>Cybersécurité</t>
        </is>
      </c>
      <c r="C42" s="6" t="n">
        <v>2</v>
      </c>
      <c r="D42" s="6" t="inlineStr">
        <is>
          <t>Moyen — ne dépend que de vous</t>
        </is>
      </c>
    </row>
    <row r="43">
      <c r="A43" s="6" t="n">
        <v>11</v>
      </c>
      <c r="B43" s="6" t="inlineStr">
        <is>
          <t>IA / Automatisation / No-code / Low-code</t>
        </is>
      </c>
      <c r="C43" s="6" t="n">
        <v>3</v>
      </c>
      <c r="D43" s="6" t="inlineStr">
        <is>
          <t>Difficile — dépend d'un tiers</t>
        </is>
      </c>
    </row>
    <row r="44">
      <c r="A44" s="6" t="n">
        <v>12</v>
      </c>
      <c r="B44" s="6" t="inlineStr">
        <is>
          <t>Gestion de projet / Outils collaboratifs métier</t>
        </is>
      </c>
    </row>
    <row r="46">
      <c r="A46" s="3" t="inlineStr">
        <is>
          <t>Code couleur</t>
        </is>
      </c>
    </row>
    <row r="47">
      <c r="A47" s="7" t="inlineStr"/>
      <c r="B47" s="6" t="inlineStr">
        <is>
          <t>Colonnes des 5 axes</t>
        </is>
      </c>
    </row>
    <row r="48">
      <c r="A48" s="8" t="inlineStr"/>
      <c r="B48" s="6" t="inlineStr">
        <is>
          <t>Valeur estimée, pas constatée</t>
        </is>
      </c>
    </row>
  </sheetData>
  <mergeCells count="6">
    <mergeCell ref="B10:D10"/>
    <mergeCell ref="B5:D5"/>
    <mergeCell ref="B8:D8"/>
    <mergeCell ref="B9:D9"/>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2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28" customWidth="1" min="2" max="2"/>
    <col width="16" customWidth="1" min="3" max="3"/>
    <col width="16" customWidth="1" min="4" max="4"/>
    <col width="16" customWidth="1" min="5" max="5"/>
    <col width="16" customWidth="1" min="6" max="6"/>
    <col width="28" customWidth="1" min="7" max="7"/>
    <col width="16" customWidth="1" min="8" max="8"/>
    <col width="16" customWidth="1" min="9" max="9"/>
    <col width="16" customWidth="1" min="10" max="10"/>
    <col width="40" customWidth="1" min="11" max="11"/>
    <col width="40" customWidth="1" min="12" max="12"/>
    <col width="28" customWidth="1" min="13" max="13"/>
    <col width="28" customWidth="1" min="14" max="14"/>
    <col width="16" customWidth="1" min="15" max="15"/>
    <col width="16" customWidth="1" min="16" max="16"/>
    <col width="40" customWidth="1" min="17" max="17"/>
    <col width="16" customWidth="1" min="18" max="18"/>
    <col width="16" customWidth="1" min="19" max="19"/>
    <col width="40" customWidth="1" min="20" max="20"/>
    <col width="16" customWidth="1" min="21" max="21"/>
    <col width="40" customWidth="1" min="22" max="22"/>
    <col width="16" customWidth="1" min="23" max="23"/>
    <col width="40" customWidth="1" min="24" max="24"/>
    <col width="13" customWidth="1" min="25" max="25"/>
    <col width="28" customWidth="1" min="26" max="26"/>
    <col width="13" customWidth="1" min="27" max="27"/>
    <col width="13" customWidth="1" min="28" max="28"/>
    <col width="13" customWidth="1" min="29" max="29"/>
    <col width="13" customWidth="1" min="30" max="30"/>
    <col width="13" customWidth="1" min="31" max="31"/>
    <col width="28" customWidth="1" min="32" max="32"/>
    <col width="13" customWidth="1" min="33" max="33"/>
    <col width="40" customWidth="1" min="34" max="34"/>
    <col width="13" customWidth="1" min="35" max="35"/>
    <col width="16" customWidth="1" min="36" max="36"/>
    <col width="13" customWidth="1" min="37" max="37"/>
    <col width="28" customWidth="1" min="38" max="38"/>
    <col width="40" customWidth="1" min="39" max="39"/>
    <col width="16" customWidth="1" min="40" max="40"/>
    <col width="13" customWidth="1" min="41" max="41"/>
    <col width="28" customWidth="1" min="42" max="42"/>
    <col width="13" customWidth="1" min="43" max="43"/>
    <col width="40" customWidth="1" min="44" max="44"/>
    <col width="13" customWidth="1" min="45" max="45"/>
    <col width="16" customWidth="1" min="46" max="46"/>
    <col width="13" customWidth="1" min="47" max="47"/>
    <col width="40" customWidth="1" min="48" max="48"/>
    <col width="16" customWidth="1" min="49" max="49"/>
  </cols>
  <sheetData>
    <row r="1" ht="30" customHeight="1">
      <c r="A1" s="9" t="inlineStr">
        <is>
          <t>nom_evenement</t>
        </is>
      </c>
      <c r="B1" s="9" t="inlineStr">
        <is>
          <t>organisateur</t>
        </is>
      </c>
      <c r="C1" s="9" t="inlineStr">
        <is>
          <t>date_debut</t>
        </is>
      </c>
      <c r="D1" s="9" t="inlineStr">
        <is>
          <t>date_fin</t>
        </is>
      </c>
      <c r="E1" s="9" t="inlineStr">
        <is>
          <t>dates_journees_pro</t>
        </is>
      </c>
      <c r="F1" s="9" t="inlineStr">
        <is>
          <t>recurrence</t>
        </is>
      </c>
      <c r="G1" s="9" t="inlineStr">
        <is>
          <t>lieu_nom</t>
        </is>
      </c>
      <c r="H1" s="9" t="inlineStr">
        <is>
          <t>commune</t>
        </is>
      </c>
      <c r="I1" s="9" t="inlineStr">
        <is>
          <t>departement</t>
        </is>
      </c>
      <c r="J1" s="9" t="inlineStr">
        <is>
          <t>format</t>
        </is>
      </c>
      <c r="K1" s="9" t="inlineStr">
        <is>
          <t>description_courte</t>
        </is>
      </c>
      <c r="L1" s="9" t="inlineStr">
        <is>
          <t>public_cible_annonce</t>
        </is>
      </c>
      <c r="M1" s="9" t="inlineStr">
        <is>
          <t>secteurs_apparents</t>
        </is>
      </c>
      <c r="N1" s="9" t="inlineStr">
        <is>
          <t>theme_logiciel_apparent</t>
        </is>
      </c>
      <c r="O1" s="9" t="inlineStr">
        <is>
          <t>taille_annoncee</t>
        </is>
      </c>
      <c r="P1" s="9" t="inlineStr">
        <is>
          <t>taille_fiabilite</t>
        </is>
      </c>
      <c r="Q1" s="9" t="inlineStr">
        <is>
          <t>taille_source</t>
        </is>
      </c>
      <c r="R1" s="9" t="inlineStr">
        <is>
          <t>modalite_acces</t>
        </is>
      </c>
      <c r="S1" s="9" t="inlineStr">
        <is>
          <t>acces_restreint</t>
        </is>
      </c>
      <c r="T1" s="9" t="inlineStr">
        <is>
          <t>nature_restriction</t>
        </is>
      </c>
      <c r="U1" s="9" t="inlineStr">
        <is>
          <t>prix</t>
        </is>
      </c>
      <c r="V1" s="9" t="inlineStr">
        <is>
          <t>url_source</t>
        </is>
      </c>
      <c r="W1" s="9" t="inlineStr">
        <is>
          <t>date_consultation</t>
        </is>
      </c>
      <c r="X1" s="9" t="inlineStr">
        <is>
          <t>notes</t>
        </is>
      </c>
      <c r="Y1" s="9" t="inlineStr">
        <is>
          <t>axe1_secteur</t>
        </is>
      </c>
      <c r="Z1" s="9" t="inlineStr">
        <is>
          <t>axe1_secteur_libelle</t>
        </is>
      </c>
      <c r="AA1" s="9" t="inlineStr">
        <is>
          <t>axe2_logiciel_source</t>
        </is>
      </c>
      <c r="AB1" s="9" t="inlineStr">
        <is>
          <t>axe3_nombre_source</t>
        </is>
      </c>
      <c r="AC1" s="9" t="inlineStr">
        <is>
          <t>axe4_type_source</t>
        </is>
      </c>
      <c r="AD1" s="9" t="inlineStr">
        <is>
          <t>axe5_acces_source</t>
        </is>
      </c>
      <c r="AE1" s="9" t="inlineStr">
        <is>
          <t>axe2_complete</t>
        </is>
      </c>
      <c r="AF1" s="9" t="inlineStr">
        <is>
          <t>axe2_logiciel_libelle</t>
        </is>
      </c>
      <c r="AG1" s="9" t="inlineStr">
        <is>
          <t>axe2_origine</t>
        </is>
      </c>
      <c r="AH1" s="9" t="inlineStr">
        <is>
          <t>axe2_base</t>
        </is>
      </c>
      <c r="AI1" s="9" t="inlineStr">
        <is>
          <t>axe3_complete</t>
        </is>
      </c>
      <c r="AJ1" s="9" t="inlineStr">
        <is>
          <t>axe3_tranche_libelle</t>
        </is>
      </c>
      <c r="AK1" s="9" t="inlineStr">
        <is>
          <t>axe3_origine</t>
        </is>
      </c>
      <c r="AL1" s="9" t="inlineStr">
        <is>
          <t>taille_complete</t>
        </is>
      </c>
      <c r="AM1" s="9" t="inlineStr">
        <is>
          <t>taille_base</t>
        </is>
      </c>
      <c r="AN1" s="9" t="inlineStr">
        <is>
          <t>taille_confiance</t>
        </is>
      </c>
      <c r="AO1" s="9" t="inlineStr">
        <is>
          <t>axe4_complete</t>
        </is>
      </c>
      <c r="AP1" s="9" t="inlineStr">
        <is>
          <t>axe4_type_libelle</t>
        </is>
      </c>
      <c r="AQ1" s="9" t="inlineStr">
        <is>
          <t>axe4_origine</t>
        </is>
      </c>
      <c r="AR1" s="9" t="inlineStr">
        <is>
          <t>axe4_base</t>
        </is>
      </c>
      <c r="AS1" s="9" t="inlineStr">
        <is>
          <t>axe5_complete</t>
        </is>
      </c>
      <c r="AT1" s="9" t="inlineStr">
        <is>
          <t>axe5_acces_libelle</t>
        </is>
      </c>
      <c r="AU1" s="9" t="inlineStr">
        <is>
          <t>axe5_origine</t>
        </is>
      </c>
      <c r="AV1" s="9" t="inlineStr">
        <is>
          <t>axe5_base</t>
        </is>
      </c>
      <c r="AW1" s="9" t="inlineStr">
        <is>
          <t>vecteur_complet</t>
        </is>
      </c>
    </row>
    <row r="2">
      <c r="A2" s="10" t="inlineStr">
        <is>
          <t>BOOST Camp IA - Accelerez la croissance de votre entreprise grace a l'IA</t>
        </is>
      </c>
      <c r="B2" s="10" t="inlineStr">
        <is>
          <t>CCI Paris Ile-de-France</t>
        </is>
      </c>
      <c r="C2" s="10" t="inlineStr">
        <is>
          <t>2026-09-15</t>
        </is>
      </c>
      <c r="D2" s="10" t="inlineStr">
        <is>
          <t>2026-12-10</t>
        </is>
      </c>
      <c r="E2" s="10" t="inlineStr"/>
      <c r="F2" s="10" t="inlineStr">
        <is>
          <t>non identifié publiquement</t>
        </is>
      </c>
      <c r="G2" s="10" t="inlineStr">
        <is>
          <t>CCI Val-d'Oise, 35 boulevard du Port</t>
        </is>
      </c>
      <c r="H2" s="10" t="inlineStr">
        <is>
          <t>Cergy</t>
        </is>
      </c>
      <c r="I2" s="10" t="inlineStr">
        <is>
          <t>95</t>
        </is>
      </c>
      <c r="J2" s="10" t="inlineStr">
        <is>
          <t>présentiel</t>
        </is>
      </c>
      <c r="K2" s="11" t="inlineStr">
        <is>
          <t>Parcours de formation aux usages concrets de l'IA : automatisation des taches repetitives et construction d'un plan d'action IA aligne sur la strategie de l'entreprise.</t>
        </is>
      </c>
      <c r="L2" s="11" t="inlineStr">
        <is>
          <t>dirigeants et collaborateurs de TPE-PME</t>
        </is>
      </c>
      <c r="M2" s="10" t="inlineStr">
        <is>
          <t>Tous secteurs</t>
        </is>
      </c>
      <c r="N2" s="10" t="inlineStr">
        <is>
          <t>Intelligence artificielle generative, agents IA, automatisation</t>
        </is>
      </c>
      <c r="O2" s="10" t="inlineStr">
        <is>
          <t>non identifié publiquement</t>
        </is>
      </c>
      <c r="P2" s="10" t="inlineStr"/>
      <c r="Q2" s="11" t="inlineStr"/>
      <c r="R2" s="10" t="inlineStr">
        <is>
          <t>candidature</t>
        </is>
      </c>
      <c r="S2" s="10" t="inlineStr">
        <is>
          <t>non</t>
        </is>
      </c>
      <c r="T2" s="11" t="inlineStr"/>
      <c r="U2" s="10" t="inlineStr">
        <is>
          <t>900 EUR HT</t>
        </is>
      </c>
      <c r="V2" s="10" t="inlineStr">
        <is>
          <t>https://www.entreprises.cci-paris-idf.fr/evenements/boost-camp-ia-accelerez-la-croissance-de-votre-entreprise-grace-lia</t>
        </is>
      </c>
      <c r="W2" s="10" t="inlineStr">
        <is>
          <t>2026-09-15</t>
        </is>
      </c>
      <c r="X2" s="11" t="inlineStr">
        <is>
          <t>ATELIER IA : concurrence directe ou partenariat possible pour une offre de conseil IA aupres des PME. La CCI Paris IDF a industrialise une offre IA pour TPE-PME sur la periode. Format : parcours progressif d'ateliers pratiques et demonstrations d'outils, du 15 septembre au 10 decembre 2026.</t>
        </is>
      </c>
      <c r="Y2" s="7" t="inlineStr">
        <is>
          <t>16</t>
        </is>
      </c>
      <c r="Z2" s="7" t="inlineStr">
        <is>
          <t>IA / Intelligence artificielle</t>
        </is>
      </c>
      <c r="AA2" s="7" t="inlineStr">
        <is>
          <t>11</t>
        </is>
      </c>
      <c r="AB2" s="7" t="inlineStr"/>
      <c r="AC2" s="7" t="inlineStr">
        <is>
          <t>1|3</t>
        </is>
      </c>
      <c r="AD2" s="7" t="inlineStr">
        <is>
          <t>2</t>
        </is>
      </c>
      <c r="AE2" s="7" t="inlineStr">
        <is>
          <t>11</t>
        </is>
      </c>
      <c r="AF2" s="7" t="inlineStr">
        <is>
          <t>IA / Automatisation / No-code / Low-code</t>
        </is>
      </c>
      <c r="AG2" s="7" t="inlineStr">
        <is>
          <t>constaté</t>
        </is>
      </c>
      <c r="AH2" s="12" t="inlineStr"/>
      <c r="AI2" s="7" t="inlineStr">
        <is>
          <t>1</t>
        </is>
      </c>
      <c r="AJ2" s="7" t="inlineStr">
        <is>
          <t>1-15</t>
        </is>
      </c>
      <c r="AK2" s="8" t="inlineStr">
        <is>
          <t>estimé</t>
        </is>
      </c>
      <c r="AL2" s="7" t="inlineStr">
        <is>
          <t>estimation : 10 a 25 participants</t>
        </is>
      </c>
      <c r="AM2" s="11" t="inlineStr">
        <is>
          <t>Modele de format (parcours d'accompagnement sur candidature), fourchette 10-25, plafonnee par la capacite du lieu (CCI Val-d'Oise, 35 boulevard du Port ~ 120)</t>
        </is>
      </c>
      <c r="AN2" s="7" t="inlineStr">
        <is>
          <t>moyenne</t>
        </is>
      </c>
      <c r="AO2" s="7" t="inlineStr">
        <is>
          <t>1|3</t>
        </is>
      </c>
      <c r="AP2" s="7" t="inlineStr">
        <is>
          <t>Décideurs PME/ETI + Opérationnels / Utilisateurs métier</t>
        </is>
      </c>
      <c r="AQ2" s="7" t="inlineStr">
        <is>
          <t>constaté</t>
        </is>
      </c>
      <c r="AR2" s="12" t="inlineStr"/>
      <c r="AS2" s="7" t="inlineStr">
        <is>
          <t>2</t>
        </is>
      </c>
      <c r="AT2" s="7" t="inlineStr">
        <is>
          <t>Moyen</t>
        </is>
      </c>
      <c r="AU2" s="7" t="inlineStr">
        <is>
          <t>constaté</t>
        </is>
      </c>
      <c r="AV2" s="12" t="inlineStr"/>
      <c r="AW2" s="7" t="inlineStr">
        <is>
          <t>S:16 L:11 N:1 P:1|3 A:2</t>
        </is>
      </c>
    </row>
    <row r="3">
      <c r="A3" s="10" t="inlineStr">
        <is>
          <t>Big Data &amp; AI Paris 2026</t>
        </is>
      </c>
      <c r="B3" s="10" t="inlineStr">
        <is>
          <t>RX France (Reed Exhibitions)</t>
        </is>
      </c>
      <c r="C3" s="10" t="inlineStr">
        <is>
          <t>2026-09-15</t>
        </is>
      </c>
      <c r="D3" s="10" t="inlineStr">
        <is>
          <t>2026-09-16</t>
        </is>
      </c>
      <c r="E3" s="10" t="inlineStr"/>
      <c r="F3" s="10" t="inlineStr">
        <is>
          <t>annuel</t>
        </is>
      </c>
      <c r="G3" s="10" t="inlineStr">
        <is>
          <t>Paris Expo Porte de Versailles</t>
        </is>
      </c>
      <c r="H3" s="10" t="inlineStr">
        <is>
          <t>Paris 15e</t>
        </is>
      </c>
      <c r="I3" s="10" t="inlineStr">
        <is>
          <t>75</t>
        </is>
      </c>
      <c r="J3" s="10" t="inlineStr">
        <is>
          <t>présentiel</t>
        </is>
      </c>
      <c r="K3" s="11" t="inlineStr">
        <is>
          <t>Rendez-vous des decideurs IT &amp; Data qui industrialisent l'IA : infrastructure et cloud, gouvernance, IA generative, applications metier.</t>
        </is>
      </c>
      <c r="L3" s="11" t="inlineStr">
        <is>
          <t>Le rendez-vous des decideurs IT &amp; Data qui industrialisent l'IA ; profils recherches : CDO, CTO, Head of Data, Data Platform, AI/ML, Gouvernance</t>
        </is>
      </c>
      <c r="M3" s="10" t="inlineStr">
        <is>
          <t>Informatique, télécommunications, audiovisuel et multimédia</t>
        </is>
      </c>
      <c r="N3" s="10" t="inlineStr">
        <is>
          <t>Data, IA generative, gouvernance de la donnee, MLOps, cloud, advanced computing</t>
        </is>
      </c>
      <c r="O3" s="10" t="inlineStr">
        <is>
          <t>environ 15 000 participants, 200 exposants et sponsors, 350 conferences et ateliers</t>
        </is>
      </c>
      <c r="P3" s="10" t="inlineStr">
        <is>
          <t>ESTIME</t>
        </is>
      </c>
      <c r="Q3" s="11" t="inlineStr">
        <is>
          <t>Chiffres relayes par la presse specialisee (solutions-numeriques.com) pour l'edition 2026 ; le site officiel consulte le 15/09/2026 n'affiche pas de chiffre de frequentation</t>
        </is>
      </c>
      <c r="R3" s="10" t="inlineStr">
        <is>
          <t>inscription libre</t>
        </is>
      </c>
      <c r="S3" s="10" t="inlineStr">
        <is>
          <t>non</t>
        </is>
      </c>
      <c r="T3" s="11" t="inlineStr"/>
      <c r="U3" s="10" t="inlineStr">
        <is>
          <t>non identifié publiquement</t>
        </is>
      </c>
      <c r="V3" s="10" t="inlineStr">
        <is>
          <t>https://www.bigdataparis.com/</t>
        </is>
      </c>
      <c r="W3" s="10" t="inlineStr">
        <is>
          <t>2026-09-15</t>
        </is>
      </c>
      <c r="X3" s="11" t="inlineStr">
        <is>
          <t>EVENEMENT LE PLUS ALIGNE AVEC L'OFFRE NOEZYA sur la periode. Objectif annonce par l'organisateur : doubler les visiteurs qualifies grands comptes. Trois salles thematiques : technologie, gouvernance, applications metier. Matchmaking et Village Advanced Computing.</t>
        </is>
      </c>
      <c r="Y3" s="7" t="inlineStr">
        <is>
          <t>16|4</t>
        </is>
      </c>
      <c r="Z3" s="7" t="inlineStr">
        <is>
          <t>IA / Intelligence artificielle + Tech / IT / Logiciels / Télécom</t>
        </is>
      </c>
      <c r="AA3" s="7" t="inlineStr">
        <is>
          <t>9</t>
        </is>
      </c>
      <c r="AB3" s="7" t="inlineStr">
        <is>
          <t>6</t>
        </is>
      </c>
      <c r="AC3" s="7" t="inlineStr">
        <is>
          <t>1</t>
        </is>
      </c>
      <c r="AD3" s="7" t="inlineStr">
        <is>
          <t>2</t>
        </is>
      </c>
      <c r="AE3" s="7" t="inlineStr">
        <is>
          <t>9</t>
        </is>
      </c>
      <c r="AF3" s="7" t="inlineStr">
        <is>
          <t>Data / BI / Analytics</t>
        </is>
      </c>
      <c r="AG3" s="7" t="inlineStr">
        <is>
          <t>constaté</t>
        </is>
      </c>
      <c r="AH3" s="12" t="inlineStr"/>
      <c r="AI3" s="7" t="inlineStr">
        <is>
          <t>6</t>
        </is>
      </c>
      <c r="AJ3" s="7" t="inlineStr">
        <is>
          <t>&gt;2000</t>
        </is>
      </c>
      <c r="AK3" s="7" t="inlineStr">
        <is>
          <t>constaté</t>
        </is>
      </c>
      <c r="AL3" s="7" t="inlineStr">
        <is>
          <t>environ 15 000 participants, 200 exposants et sponsors, 350 conferences et ateliers</t>
        </is>
      </c>
      <c r="AM3" s="11" t="inlineStr">
        <is>
          <t>Chiffre publie par l'organisateur (colonne taille_source)</t>
        </is>
      </c>
      <c r="AN3" s="7" t="inlineStr">
        <is>
          <t>haute</t>
        </is>
      </c>
      <c r="AO3" s="7" t="inlineStr">
        <is>
          <t>1</t>
        </is>
      </c>
      <c r="AP3" s="7" t="inlineStr">
        <is>
          <t>Décideurs PME/ETI</t>
        </is>
      </c>
      <c r="AQ3" s="7" t="inlineStr">
        <is>
          <t>constaté</t>
        </is>
      </c>
      <c r="AR3" s="12" t="inlineStr"/>
      <c r="AS3" s="7" t="inlineStr">
        <is>
          <t>2</t>
        </is>
      </c>
      <c r="AT3" s="7" t="inlineStr">
        <is>
          <t>Moyen</t>
        </is>
      </c>
      <c r="AU3" s="7" t="inlineStr">
        <is>
          <t>constaté</t>
        </is>
      </c>
      <c r="AV3" s="12" t="inlineStr"/>
      <c r="AW3" s="7" t="inlineStr">
        <is>
          <t>S:16|4 L:9 N:6 P:1 A:2</t>
        </is>
      </c>
    </row>
    <row r="4">
      <c r="A4" s="10" t="inlineStr">
        <is>
          <t>Formation numerique : creez votre agent IA SEO &amp; GEO (session du 15 septembre)</t>
        </is>
      </c>
      <c r="B4" s="10" t="inlineStr">
        <is>
          <t>CCI Paris Ile-de-France</t>
        </is>
      </c>
      <c r="C4" s="10" t="inlineStr">
        <is>
          <t>2026-09-15</t>
        </is>
      </c>
      <c r="D4" s="10" t="inlineStr"/>
      <c r="E4" s="10" t="inlineStr"/>
      <c r="F4" s="10" t="inlineStr">
        <is>
          <t>non identifié publiquement</t>
        </is>
      </c>
      <c r="G4" s="10" t="inlineStr">
        <is>
          <t>CCI Hauts-de-Seine - Coeur Defense, Tour A, 2e etage</t>
        </is>
      </c>
      <c r="H4" s="10" t="inlineStr">
        <is>
          <t>Courbevoie (quartier Paris La Defense)</t>
        </is>
      </c>
      <c r="I4" s="10" t="inlineStr">
        <is>
          <t>92</t>
        </is>
      </c>
      <c r="J4" s="10" t="inlineStr">
        <is>
          <t>présentiel</t>
        </is>
      </c>
      <c r="K4" s="11" t="inlineStr">
        <is>
          <t>Formation a la creation d'un agent IA dedie au referencement naturel et generatif.</t>
        </is>
      </c>
      <c r="L4" s="11" t="inlineStr">
        <is>
          <t>non identifié publiquement</t>
        </is>
      </c>
      <c r="M4" s="10" t="inlineStr">
        <is>
          <t>Tous secteurs</t>
        </is>
      </c>
      <c r="N4" s="10" t="inlineStr">
        <is>
          <t>Intelligence artificielle generative, agents IA, automatisation, SEO, GEO (Generative Engine Optimization)</t>
        </is>
      </c>
      <c r="O4" s="10" t="inlineStr">
        <is>
          <t>non identifié publiquement</t>
        </is>
      </c>
      <c r="P4" s="10" t="inlineStr"/>
      <c r="Q4" s="11" t="inlineStr"/>
      <c r="R4" s="10" t="inlineStr">
        <is>
          <t>inscription libre</t>
        </is>
      </c>
      <c r="S4" s="10" t="inlineStr">
        <is>
          <t>non</t>
        </is>
      </c>
      <c r="T4" s="11" t="inlineStr"/>
      <c r="U4" s="10" t="inlineStr">
        <is>
          <t>495 EUR TTC</t>
        </is>
      </c>
      <c r="V4" s="10" t="inlineStr">
        <is>
          <t>https://www.entreprises.cci-paris-idf.fr/evenements/formation-numerique-creez-votre-agent-ia-seo-geo</t>
        </is>
      </c>
      <c r="W4" s="10" t="inlineStr">
        <is>
          <t>2026-09-15</t>
        </is>
      </c>
      <c r="X4" s="11" t="inlineStr">
        <is>
          <t>ATELIER IA : concurrence directe ou partenariat possible pour une offre de conseil IA aupres des PME. La CCI Paris IDF a industrialise une offre IA pour TPE-PME sur la periode. Deux sessions publiees sur la meme fiche (15 septembre et 5 novembre 2026) : une ligne par session.</t>
        </is>
      </c>
      <c r="Y4" s="7" t="inlineStr">
        <is>
          <t>16</t>
        </is>
      </c>
      <c r="Z4" s="7" t="inlineStr">
        <is>
          <t>IA / Intelligence artificielle</t>
        </is>
      </c>
      <c r="AA4" s="7" t="inlineStr">
        <is>
          <t>11</t>
        </is>
      </c>
      <c r="AB4" s="7" t="inlineStr"/>
      <c r="AC4" s="7" t="inlineStr"/>
      <c r="AD4" s="7" t="inlineStr">
        <is>
          <t>2</t>
        </is>
      </c>
      <c r="AE4" s="7" t="inlineStr">
        <is>
          <t>11</t>
        </is>
      </c>
      <c r="AF4" s="7" t="inlineStr">
        <is>
          <t>IA / Automatisation / No-code / Low-code</t>
        </is>
      </c>
      <c r="AG4" s="7" t="inlineStr">
        <is>
          <t>constaté</t>
        </is>
      </c>
      <c r="AH4" s="12" t="inlineStr"/>
      <c r="AI4" s="7" t="inlineStr">
        <is>
          <t>2</t>
        </is>
      </c>
      <c r="AJ4" s="7" t="inlineStr">
        <is>
          <t>16-40</t>
        </is>
      </c>
      <c r="AK4" s="8" t="inlineStr">
        <is>
          <t>estimé</t>
        </is>
      </c>
      <c r="AL4" s="7" t="inlineStr">
        <is>
          <t>estimation : 10 a 30 participants</t>
        </is>
      </c>
      <c r="AM4" s="11" t="inlineStr">
        <is>
          <t>Modele de format (atelier ou formation en chambre de commerce), fourchette 10-30, plafonnee par la capacite du lieu (CCI Hauts-de-Seine - Coeur Defense, Tour ~ 120)</t>
        </is>
      </c>
      <c r="AN4" s="7" t="inlineStr">
        <is>
          <t>moyenne</t>
        </is>
      </c>
      <c r="AO4" s="7" t="inlineStr">
        <is>
          <t>1</t>
        </is>
      </c>
      <c r="AP4" s="7" t="inlineStr">
        <is>
          <t>Décideurs PME/ETI</t>
        </is>
      </c>
      <c r="AQ4" s="8" t="inlineStr">
        <is>
          <t>estimé</t>
        </is>
      </c>
      <c r="AR4" s="12" t="inlineStr">
        <is>
          <t>Organisateur CCI : public cible structurel de dirigeants et collaborateurs de TPE-PME</t>
        </is>
      </c>
      <c r="AS4" s="7" t="inlineStr">
        <is>
          <t>2</t>
        </is>
      </c>
      <c r="AT4" s="7" t="inlineStr">
        <is>
          <t>Moyen</t>
        </is>
      </c>
      <c r="AU4" s="7" t="inlineStr">
        <is>
          <t>constaté</t>
        </is>
      </c>
      <c r="AV4" s="12" t="inlineStr"/>
      <c r="AW4" s="7" t="inlineStr">
        <is>
          <t>S:16 L:11 N:2 P:1 A:2</t>
        </is>
      </c>
    </row>
    <row r="5">
      <c r="A5" s="10" t="inlineStr">
        <is>
          <t>FranSec Summit 2026</t>
        </is>
      </c>
      <c r="B5" s="10" t="inlineStr">
        <is>
          <t>QG Media</t>
        </is>
      </c>
      <c r="C5" s="10" t="inlineStr">
        <is>
          <t>2026-09-15</t>
        </is>
      </c>
      <c r="D5" s="10" t="inlineStr">
        <is>
          <t>2026-09-16</t>
        </is>
      </c>
      <c r="E5" s="10" t="inlineStr"/>
      <c r="F5" s="10" t="inlineStr">
        <is>
          <t>non identifié publiquement</t>
        </is>
      </c>
      <c r="G5" s="10" t="inlineStr">
        <is>
          <t>Pullman Paris Montparnasse</t>
        </is>
      </c>
      <c r="H5" s="10" t="inlineStr">
        <is>
          <t>Paris (arrondissement selon le lieu)</t>
        </is>
      </c>
      <c r="I5" s="10" t="inlineStr">
        <is>
          <t>75</t>
        </is>
      </c>
      <c r="J5" s="10" t="inlineStr">
        <is>
          <t>présentiel</t>
        </is>
      </c>
      <c r="K5" s="11" t="inlineStr">
        <is>
          <t>FranSec Summit 2026 : conférence cyber sécurité 16-17 septembre à Paris. 100+ leaders, CISOs et décideurs. Stratégie, conformité, résilience cyber.</t>
        </is>
      </c>
      <c r="L5" s="11" t="inlineStr">
        <is>
          <t>non identifié publiquement</t>
        </is>
      </c>
      <c r="M5" s="10" t="inlineStr">
        <is>
          <t>Numerique, informatique, technologies</t>
        </is>
      </c>
      <c r="N5" s="10" t="inlineStr">
        <is>
          <t>non identifié publiquement</t>
        </is>
      </c>
      <c r="O5" s="10" t="inlineStr">
        <is>
          <t>non identifié publiquement</t>
        </is>
      </c>
      <c r="P5" s="10" t="inlineStr">
        <is>
          <t>ESTIME</t>
        </is>
      </c>
      <c r="Q5" s="11" t="inlineStr">
        <is>
          <t>Effectif attendu publie par l'agregateur specialise Agenda Tech pour cette edition</t>
        </is>
      </c>
      <c r="R5" s="10" t="inlineStr">
        <is>
          <t>non identifié publiquement</t>
        </is>
      </c>
      <c r="S5" s="10" t="inlineStr">
        <is>
          <t>non</t>
        </is>
      </c>
      <c r="T5" s="11" t="inlineStr"/>
      <c r="U5" s="10" t="inlineStr">
        <is>
          <t>non identifié publiquement</t>
        </is>
      </c>
      <c r="V5" s="10" t="inlineStr">
        <is>
          <t>https://www.agenda-tech.com/events/fransec-summit-paris-2026</t>
        </is>
      </c>
      <c r="W5" s="10" t="inlineStr">
        <is>
          <t>2026-09-15</t>
        </is>
      </c>
      <c r="X5" s="11" t="inlineStr">
        <is>
          <t>Identifie via l'agregateur specialise Agenda Tech (donnees structurees schema.org publiees par l'organisateur).</t>
        </is>
      </c>
      <c r="Y5" s="7" t="inlineStr">
        <is>
          <t>4</t>
        </is>
      </c>
      <c r="Z5" s="7" t="inlineStr">
        <is>
          <t>Tech / IT / Logiciels / Télécom</t>
        </is>
      </c>
      <c r="AA5" s="7" t="inlineStr">
        <is>
          <t>10</t>
        </is>
      </c>
      <c r="AB5" s="7" t="inlineStr"/>
      <c r="AC5" s="7" t="inlineStr">
        <is>
          <t>1</t>
        </is>
      </c>
      <c r="AD5" s="7" t="inlineStr"/>
      <c r="AE5" s="7" t="inlineStr">
        <is>
          <t>10</t>
        </is>
      </c>
      <c r="AF5" s="7" t="inlineStr">
        <is>
          <t>Cybersécurité</t>
        </is>
      </c>
      <c r="AG5" s="7" t="inlineStr">
        <is>
          <t>constaté</t>
        </is>
      </c>
      <c r="AH5" s="12" t="inlineStr"/>
      <c r="AI5" s="7" t="inlineStr">
        <is>
          <t>3</t>
        </is>
      </c>
      <c r="AJ5" s="7" t="inlineStr">
        <is>
          <t>41-120</t>
        </is>
      </c>
      <c r="AK5" s="8" t="inlineStr">
        <is>
          <t>estimé</t>
        </is>
      </c>
      <c r="AL5" s="7" t="inlineStr">
        <is>
          <t>environ 100 participants</t>
        </is>
      </c>
      <c r="AM5" s="11" t="inlineStr">
        <is>
          <t>Effectif attendu publie par Agenda Tech (agregateur specialise, chiffre de l'organisateur ou de l'agregateur)</t>
        </is>
      </c>
      <c r="AN5" s="7" t="inlineStr">
        <is>
          <t>moyenne</t>
        </is>
      </c>
      <c r="AO5" s="7" t="inlineStr">
        <is>
          <t>1</t>
        </is>
      </c>
      <c r="AP5" s="7" t="inlineStr">
        <is>
          <t>Décideurs PME/ETI</t>
        </is>
      </c>
      <c r="AQ5" s="7" t="inlineStr">
        <is>
          <t>constaté</t>
        </is>
      </c>
      <c r="AR5" s="12" t="inlineStr"/>
      <c r="AS5" s="7" t="inlineStr">
        <is>
          <t>2</t>
        </is>
      </c>
      <c r="AT5" s="7" t="inlineStr">
        <is>
          <t>Moyen</t>
        </is>
      </c>
      <c r="AU5" s="8" t="inlineStr">
        <is>
          <t>estimé</t>
        </is>
      </c>
      <c r="AV5" s="12" t="inlineStr">
        <is>
          <t>Tarif payant publie par Agenda Tech</t>
        </is>
      </c>
      <c r="AW5" s="7" t="inlineStr">
        <is>
          <t>S:4 L:10 N:3 P:1 A:2</t>
        </is>
      </c>
    </row>
    <row r="6">
      <c r="A6" s="10" t="inlineStr">
        <is>
          <t>IFTM - International &amp; French Travel Market</t>
        </is>
      </c>
      <c r="B6" s="10" t="inlineStr">
        <is>
          <t>RX France (Reed Expositions)</t>
        </is>
      </c>
      <c r="C6" s="10" t="inlineStr">
        <is>
          <t>2026-09-15</t>
        </is>
      </c>
      <c r="D6" s="10" t="inlineStr">
        <is>
          <t>2026-09-17</t>
        </is>
      </c>
      <c r="E6" s="10" t="inlineStr"/>
      <c r="F6" s="10" t="inlineStr">
        <is>
          <t>annuel</t>
        </is>
      </c>
      <c r="G6" s="10" t="inlineStr">
        <is>
          <t>Paris Expo Porte de Versailles</t>
        </is>
      </c>
      <c r="H6" s="10" t="inlineStr">
        <is>
          <t>Paris 15e</t>
        </is>
      </c>
      <c r="I6" s="10" t="inlineStr">
        <is>
          <t>75</t>
        </is>
      </c>
      <c r="J6" s="10" t="inlineStr">
        <is>
          <t>présentiel</t>
        </is>
      </c>
      <c r="K6" s="11" t="inlineStr">
        <is>
          <t>Le rendez-vous des professionnels du Tourisme</t>
        </is>
      </c>
      <c r="L6" s="11" t="inlineStr">
        <is>
          <t>Visitorat : réservé aux professionnels (fiche CCI Paris Ile-de-France)</t>
        </is>
      </c>
      <c r="M6" s="10" t="inlineStr">
        <is>
          <t>Tourisme, sports et loisirs</t>
        </is>
      </c>
      <c r="N6" s="10" t="inlineStr">
        <is>
          <t>non identifié publiquement</t>
        </is>
      </c>
      <c r="O6" s="10" t="inlineStr">
        <is>
          <t>non identifié publiquement</t>
        </is>
      </c>
      <c r="P6" s="10" t="inlineStr">
        <is>
          <t>CONFIRME</t>
        </is>
      </c>
      <c r="Q6" s="11" t="inlineStr">
        <is>
          <t>Objectifs annonces par l'organisateur pour 2026 et bilan 2025, relayes par L'Echo touristique et TourMaG</t>
        </is>
      </c>
      <c r="R6" s="10" t="inlineStr">
        <is>
          <t>inscription libre</t>
        </is>
      </c>
      <c r="S6" s="10" t="inlineStr">
        <is>
          <t>non</t>
        </is>
      </c>
      <c r="T6" s="11" t="inlineStr"/>
      <c r="U6" s="10" t="inlineStr">
        <is>
          <t>non identifié publiquement</t>
        </is>
      </c>
      <c r="V6" s="10" t="inlineStr">
        <is>
          <t>https://www.cci-paris-idf.fr/fr/evenements-salons/salons-foires-paris-ile-de-france/iftm-international-french-travel-market</t>
        </is>
      </c>
      <c r="W6" s="10" t="inlineStr">
        <is>
          <t>2026-09-15</t>
        </is>
      </c>
      <c r="X6" s="11" t="inlineStr">
        <is>
          <t>Ex-IFTM Top Resa. Site organisateur indique par la CCI : reedexpo.fr.</t>
        </is>
      </c>
      <c r="Y6" s="7" t="inlineStr">
        <is>
          <t>14</t>
        </is>
      </c>
      <c r="Z6" s="7" t="inlineStr">
        <is>
          <t>Hôtellerie / Restauration / Tourisme</t>
        </is>
      </c>
      <c r="AA6" s="7" t="inlineStr"/>
      <c r="AB6" s="7" t="inlineStr"/>
      <c r="AC6" s="7" t="inlineStr"/>
      <c r="AD6" s="7" t="inlineStr">
        <is>
          <t>2</t>
        </is>
      </c>
      <c r="AE6" s="7" t="inlineStr">
        <is>
          <t>0</t>
        </is>
      </c>
      <c r="AF6" s="7" t="inlineStr">
        <is>
          <t>Générique / Multi-éditeurs / Sans dominante</t>
        </is>
      </c>
      <c r="AG6" s="8" t="inlineStr">
        <is>
          <t>estimé</t>
        </is>
      </c>
      <c r="AH6" s="12" t="inlineStr">
        <is>
          <t>Aucune dimension logicielle dans le positionnement de l'organisateur : rattache au 0 (sans dominante) plutot que laisse vide, conformement a la demande de non-vide</t>
        </is>
      </c>
      <c r="AI6" s="7" t="inlineStr">
        <is>
          <t>6</t>
        </is>
      </c>
      <c r="AJ6" s="7" t="inlineStr">
        <is>
          <t>&gt;2000</t>
        </is>
      </c>
      <c r="AK6" s="7" t="inlineStr">
        <is>
          <t>constaté</t>
        </is>
      </c>
      <c r="AL6" s="7" t="inlineStr">
        <is>
          <t>34 000 visiteurs attendus, 1 700 marques (edition 2025 : plus de 32 000 visiteurs professionnels)</t>
        </is>
      </c>
      <c r="AM6" s="11" t="inlineStr">
        <is>
          <t>Objectifs annonces par l'organisateur pour 2026 et bilan 2025, relayes par L'Echo touristique et TourMaG</t>
        </is>
      </c>
      <c r="AN6" s="7" t="inlineStr">
        <is>
          <t>haute</t>
        </is>
      </c>
      <c r="AO6" s="7" t="inlineStr">
        <is>
          <t>1</t>
        </is>
      </c>
      <c r="AP6" s="7" t="inlineStr">
        <is>
          <t>Décideurs PME/ETI</t>
        </is>
      </c>
      <c r="AQ6" s="8" t="inlineStr">
        <is>
          <t>estimé</t>
        </is>
      </c>
      <c r="AR6" s="12" t="inlineStr">
        <is>
          <t>Par defaut, evenement B2B francilien : decideurs PME/ETI</t>
        </is>
      </c>
      <c r="AS6" s="7" t="inlineStr">
        <is>
          <t>2</t>
        </is>
      </c>
      <c r="AT6" s="7" t="inlineStr">
        <is>
          <t>Moyen</t>
        </is>
      </c>
      <c r="AU6" s="7" t="inlineStr">
        <is>
          <t>constaté</t>
        </is>
      </c>
      <c r="AV6" s="12" t="inlineStr"/>
      <c r="AW6" s="7" t="inlineStr">
        <is>
          <t>S:14 L:0 N:6 P:1 A:2</t>
        </is>
      </c>
    </row>
    <row r="7">
      <c r="A7" s="10" t="inlineStr">
        <is>
          <t>Les Journees du Courtage 2026</t>
        </is>
      </c>
      <c r="B7" s="10" t="inlineStr">
        <is>
          <t>non identifié publiquement</t>
        </is>
      </c>
      <c r="C7" s="10" t="inlineStr">
        <is>
          <t>2026-09-15</t>
        </is>
      </c>
      <c r="D7" s="10" t="inlineStr">
        <is>
          <t>2026-09-16</t>
        </is>
      </c>
      <c r="E7" s="10" t="inlineStr"/>
      <c r="F7" s="10" t="inlineStr">
        <is>
          <t>annuel</t>
        </is>
      </c>
      <c r="G7" s="10" t="inlineStr">
        <is>
          <t>Palais des Congres de Paris (Porte Maillot)</t>
        </is>
      </c>
      <c r="H7" s="10" t="inlineStr">
        <is>
          <t>Paris 17e</t>
        </is>
      </c>
      <c r="I7" s="10" t="inlineStr">
        <is>
          <t>75</t>
        </is>
      </c>
      <c r="J7" s="10" t="inlineStr">
        <is>
          <t>présentiel</t>
        </is>
      </c>
      <c r="K7" s="11" t="inlineStr">
        <is>
          <t>Le rendez-vous des courtiers et des assureurs</t>
        </is>
      </c>
      <c r="L7" s="11" t="inlineStr">
        <is>
          <t>Visitorat : réservé aux professionnels (fiche CCI Paris Ile-de-France)</t>
        </is>
      </c>
      <c r="M7" s="10" t="inlineStr">
        <is>
          <t>Assurances, banque, services financiers, juridique</t>
        </is>
      </c>
      <c r="N7" s="10" t="inlineStr">
        <is>
          <t>non identifié publiquement</t>
        </is>
      </c>
      <c r="O7" s="10" t="inlineStr">
        <is>
          <t>non identifié publiquement</t>
        </is>
      </c>
      <c r="P7" s="10" t="inlineStr">
        <is>
          <t>CONFIRME</t>
        </is>
      </c>
      <c r="Q7" s="11" t="inlineStr">
        <is>
          <t>Ordre de grandeur publie par l'organisateur (lesjourneesducourtage.com) et relaye par Agoris</t>
        </is>
      </c>
      <c r="R7" s="10" t="inlineStr">
        <is>
          <t>inscription libre</t>
        </is>
      </c>
      <c r="S7" s="10" t="inlineStr">
        <is>
          <t>oui</t>
        </is>
      </c>
      <c r="T7" s="11" t="inlineStr">
        <is>
          <t>Salon professionnel reserve aux courtiers, assureurs et acteurs de la distribution assurance</t>
        </is>
      </c>
      <c r="U7" s="10" t="inlineStr">
        <is>
          <t>non identifié publiquement</t>
        </is>
      </c>
      <c r="V7" s="10" t="inlineStr">
        <is>
          <t>https://www.cci-paris-idf.fr/fr/evenements-salons/salons-foires-paris-ile-de-france/les-journees-du-courtage</t>
        </is>
      </c>
      <c r="W7" s="10" t="inlineStr">
        <is>
          <t>2026-09-15</t>
        </is>
      </c>
      <c r="X7" s="11" t="inlineStr">
        <is>
          <t>Public : courtiers d'assurance et de credit. Cabinets de courtage souvent PME de 10 a 250 salaries : ICP plausible.</t>
        </is>
      </c>
      <c r="Y7" s="7" t="inlineStr">
        <is>
          <t>8|9</t>
        </is>
      </c>
      <c r="Z7" s="7" t="inlineStr">
        <is>
          <t>Finance / Banque / Assurance + Services professionnels / Conseil / Juridique / Comptabilité</t>
        </is>
      </c>
      <c r="AA7" s="7" t="inlineStr"/>
      <c r="AB7" s="7" t="inlineStr"/>
      <c r="AC7" s="7" t="inlineStr">
        <is>
          <t>4</t>
        </is>
      </c>
      <c r="AD7" s="7" t="inlineStr">
        <is>
          <t>2</t>
        </is>
      </c>
      <c r="AE7" s="7" t="inlineStr">
        <is>
          <t>0</t>
        </is>
      </c>
      <c r="AF7" s="7" t="inlineStr">
        <is>
          <t>Générique / Multi-éditeurs / Sans dominante</t>
        </is>
      </c>
      <c r="AG7" s="8" t="inlineStr">
        <is>
          <t>estimé</t>
        </is>
      </c>
      <c r="AH7" s="12" t="inlineStr">
        <is>
          <t>Aucune dimension logicielle dans le positionnement de l'organisateur : rattache au 0 (sans dominante) plutot que laisse vide, conformement a la demande de non-vide</t>
        </is>
      </c>
      <c r="AI7" s="7" t="inlineStr">
        <is>
          <t>6</t>
        </is>
      </c>
      <c r="AJ7" s="7" t="inlineStr">
        <is>
          <t>&gt;2000</t>
        </is>
      </c>
      <c r="AK7" s="7" t="inlineStr">
        <is>
          <t>constaté</t>
        </is>
      </c>
      <c r="AL7" s="7" t="inlineStr">
        <is>
          <t>environ 180 exposants et 10 000 visiteurs professionnels (ordre de grandeur stable sur les editions recentes ; 25e edition)</t>
        </is>
      </c>
      <c r="AM7" s="11" t="inlineStr">
        <is>
          <t>Ordre de grandeur publie par l'organisateur (lesjourneesducourtage.com) et relaye par Agoris</t>
        </is>
      </c>
      <c r="AN7" s="7" t="inlineStr">
        <is>
          <t>haute</t>
        </is>
      </c>
      <c r="AO7" s="7" t="inlineStr">
        <is>
          <t>4</t>
        </is>
      </c>
      <c r="AP7" s="7" t="inlineStr">
        <is>
          <t>Partenaires / Prescripteurs / Consultants / Intégrateurs</t>
        </is>
      </c>
      <c r="AQ7" s="7" t="inlineStr">
        <is>
          <t>constaté</t>
        </is>
      </c>
      <c r="AR7" s="12" t="inlineStr"/>
      <c r="AS7" s="7" t="inlineStr">
        <is>
          <t>2</t>
        </is>
      </c>
      <c r="AT7" s="7" t="inlineStr">
        <is>
          <t>Moyen</t>
        </is>
      </c>
      <c r="AU7" s="7" t="inlineStr">
        <is>
          <t>constaté</t>
        </is>
      </c>
      <c r="AV7" s="12" t="inlineStr"/>
      <c r="AW7" s="7" t="inlineStr">
        <is>
          <t>S:8|9 L:0 N:6 P:4 A:2</t>
        </is>
      </c>
    </row>
    <row r="8">
      <c r="A8" s="10" t="inlineStr">
        <is>
          <t>NRF Retail's Big Show Europe</t>
        </is>
      </c>
      <c r="B8" s="10" t="inlineStr">
        <is>
          <t>NRF (National Retail Federation) / Comexposium</t>
        </is>
      </c>
      <c r="C8" s="10" t="inlineStr">
        <is>
          <t>2026-09-15</t>
        </is>
      </c>
      <c r="D8" s="10" t="inlineStr">
        <is>
          <t>2026-09-17</t>
        </is>
      </c>
      <c r="E8" s="10" t="inlineStr"/>
      <c r="F8" s="10" t="inlineStr">
        <is>
          <t>annuel</t>
        </is>
      </c>
      <c r="G8" s="10" t="inlineStr">
        <is>
          <t>Paris Expo Porte de Versailles</t>
        </is>
      </c>
      <c r="H8" s="10" t="inlineStr">
        <is>
          <t>Paris 15e</t>
        </is>
      </c>
      <c r="I8" s="10" t="inlineStr">
        <is>
          <t>75</t>
        </is>
      </c>
      <c r="J8" s="10" t="inlineStr">
        <is>
          <t>présentiel</t>
        </is>
      </c>
      <c r="K8" s="11" t="inlineStr">
        <is>
          <t>Rendez-vous europeen du retail et du e-commerce : IA, digitalisation, experience client, logistique, data, nouveaux modeles de commerce.</t>
        </is>
      </c>
      <c r="L8" s="11" t="inlineStr">
        <is>
          <t>professionnels du retail et du e-commerce en Europe ; visitorat reserve aux professionnels (fiche CCI)</t>
        </is>
      </c>
      <c r="M8" s="10" t="inlineStr">
        <is>
          <t>Commerce, relations internationales et services aux entreprises (voyages d'affaires et de stimulation, etc.)</t>
        </is>
      </c>
      <c r="N8" s="10" t="inlineStr">
        <is>
          <t>Intelligence artificielle, digitalisation, data, experience client, solutions retail</t>
        </is>
      </c>
      <c r="O8" s="10" t="inlineStr">
        <is>
          <t>plus de 12 000 professionnels, 525 exposants, plus de 200 intervenants internationaux</t>
        </is>
      </c>
      <c r="P8" s="10" t="inlineStr">
        <is>
          <t>CONFIRME</t>
        </is>
      </c>
      <c r="Q8" s="11" t="inlineStr">
        <is>
          <t>Chiffres annonces par l'organisateur, repris par la fiche evenement de l'office de tourisme Paris je t'aime</t>
        </is>
      </c>
      <c r="R8" s="10" t="inlineStr">
        <is>
          <t>inscription libre</t>
        </is>
      </c>
      <c r="S8" s="10" t="inlineStr">
        <is>
          <t>non</t>
        </is>
      </c>
      <c r="T8" s="11" t="inlineStr"/>
      <c r="U8" s="10" t="inlineStr">
        <is>
          <t>non identifié publiquement</t>
        </is>
      </c>
      <c r="V8" s="10" t="inlineStr">
        <is>
          <t>https://www.cci-paris-idf.fr/fr/evenements-salons/salons-foires-paris-ile-de-france/nrf-retails-big-show-europe-0</t>
        </is>
      </c>
      <c r="W8" s="10" t="inlineStr">
        <is>
          <t>2026-09-15</t>
        </is>
      </c>
      <c r="X8" s="11" t="inlineStr">
        <is>
          <t>Fiche CCI presente en doublon dans le repertoire (deux entrees). Formats : conferences, keynotes, Innovators Showcase, Startup Hub. Site officiel nrfbigshoweurope.com inaccessible au scraping (HTTP 403) le 15/09/2026.</t>
        </is>
      </c>
      <c r="Y8" s="7" t="inlineStr">
        <is>
          <t>16|5</t>
        </is>
      </c>
      <c r="Z8" s="7" t="inlineStr">
        <is>
          <t>IA / Intelligence artificielle + Commerce / Distribution / E-commerce</t>
        </is>
      </c>
      <c r="AA8" s="7" t="inlineStr">
        <is>
          <t>9</t>
        </is>
      </c>
      <c r="AB8" s="7" t="inlineStr">
        <is>
          <t>6</t>
        </is>
      </c>
      <c r="AC8" s="7" t="inlineStr"/>
      <c r="AD8" s="7" t="inlineStr">
        <is>
          <t>2</t>
        </is>
      </c>
      <c r="AE8" s="7" t="inlineStr">
        <is>
          <t>9</t>
        </is>
      </c>
      <c r="AF8" s="7" t="inlineStr">
        <is>
          <t>Data / BI / Analytics</t>
        </is>
      </c>
      <c r="AG8" s="7" t="inlineStr">
        <is>
          <t>constaté</t>
        </is>
      </c>
      <c r="AH8" s="12" t="inlineStr"/>
      <c r="AI8" s="7" t="inlineStr">
        <is>
          <t>6</t>
        </is>
      </c>
      <c r="AJ8" s="7" t="inlineStr">
        <is>
          <t>&gt;2000</t>
        </is>
      </c>
      <c r="AK8" s="7" t="inlineStr">
        <is>
          <t>constaté</t>
        </is>
      </c>
      <c r="AL8" s="7" t="inlineStr">
        <is>
          <t>plus de 12 000 professionnels, 525 exposants, plus de 200 intervenants internationaux</t>
        </is>
      </c>
      <c r="AM8" s="11" t="inlineStr">
        <is>
          <t>Chiffre publie par l'organisateur (colonne taille_source)</t>
        </is>
      </c>
      <c r="AN8" s="7" t="inlineStr">
        <is>
          <t>haute</t>
        </is>
      </c>
      <c r="AO8" s="7" t="inlineStr">
        <is>
          <t>3</t>
        </is>
      </c>
      <c r="AP8" s="7" t="inlineStr">
        <is>
          <t>Opérationnels / Utilisateurs métier</t>
        </is>
      </c>
      <c r="AQ8" s="8" t="inlineStr">
        <is>
          <t>estimé</t>
        </is>
      </c>
      <c r="AR8" s="12" t="inlineStr">
        <is>
          <t>Conference technique IA : profils operationnels et utilisateurs metier</t>
        </is>
      </c>
      <c r="AS8" s="7" t="inlineStr">
        <is>
          <t>2</t>
        </is>
      </c>
      <c r="AT8" s="7" t="inlineStr">
        <is>
          <t>Moyen</t>
        </is>
      </c>
      <c r="AU8" s="7" t="inlineStr">
        <is>
          <t>constaté</t>
        </is>
      </c>
      <c r="AV8" s="12" t="inlineStr"/>
      <c r="AW8" s="7" t="inlineStr">
        <is>
          <t>S:16|5 L:9 N:6 P:3 A:2</t>
        </is>
      </c>
    </row>
    <row r="9">
      <c r="A9" s="10" t="inlineStr">
        <is>
          <t>Paris AI Forum</t>
        </is>
      </c>
      <c r="B9" s="10" t="inlineStr">
        <is>
          <t>WAN-IFRA</t>
        </is>
      </c>
      <c r="C9" s="10" t="inlineStr">
        <is>
          <t>2026-09-15</t>
        </is>
      </c>
      <c r="D9" s="10" t="inlineStr">
        <is>
          <t>2026-09-16</t>
        </is>
      </c>
      <c r="E9" s="10" t="inlineStr"/>
      <c r="F9" s="10" t="inlineStr">
        <is>
          <t>non identifié publiquement</t>
        </is>
      </c>
      <c r="G9" s="10" t="inlineStr">
        <is>
          <t>Auditorium Les Echos - Le Parisien</t>
        </is>
      </c>
      <c r="H9" s="10" t="inlineStr">
        <is>
          <t>Paris (arrondissement selon le lieu)</t>
        </is>
      </c>
      <c r="I9" s="10" t="inlineStr">
        <is>
          <t>75</t>
        </is>
      </c>
      <c r="J9" s="10" t="inlineStr">
        <is>
          <t>présentiel</t>
        </is>
      </c>
      <c r="K9" s="11" t="inlineStr">
        <is>
          <t>Paris AI Forum 15 sept 2026. Conférence B2B pour décideurs médias sur l'IA, création de contenu et SEO. Organisé par WAN-IFRA.</t>
        </is>
      </c>
      <c r="L9" s="11" t="inlineStr">
        <is>
          <t>non identifié publiquement</t>
        </is>
      </c>
      <c r="M9" s="10" t="inlineStr">
        <is>
          <t>Numerique, informatique, technologies</t>
        </is>
      </c>
      <c r="N9" s="10" t="inlineStr">
        <is>
          <t>Paris AI Forum - Paris AI Forum 15 sept 2026. Conférence B2B pour décideurs médias sur l'IA, création de contenu et SEO. Organi</t>
        </is>
      </c>
      <c r="O9" s="10" t="inlineStr">
        <is>
          <t>non identifié publiquement</t>
        </is>
      </c>
      <c r="P9" s="10" t="inlineStr">
        <is>
          <t>CONFIRME</t>
        </is>
      </c>
      <c r="Q9" s="11" t="inlineStr">
        <is>
          <t>Chiffre annonce par l'organisateur WAN-IFRA pour l'edition 2026</t>
        </is>
      </c>
      <c r="R9" s="10" t="inlineStr">
        <is>
          <t>non identifié publiquement</t>
        </is>
      </c>
      <c r="S9" s="10" t="inlineStr">
        <is>
          <t>non</t>
        </is>
      </c>
      <c r="T9" s="11" t="inlineStr"/>
      <c r="U9" s="10" t="inlineStr">
        <is>
          <t>non identifié publiquement</t>
        </is>
      </c>
      <c r="V9" s="10" t="inlineStr">
        <is>
          <t>https://www.agenda-tech.com/events/paris-ai-forum-2026</t>
        </is>
      </c>
      <c r="W9" s="10" t="inlineStr">
        <is>
          <t>2026-09-15</t>
        </is>
      </c>
      <c r="X9" s="11" t="inlineStr">
        <is>
          <t>Identifie via l'agregateur specialise Agenda Tech (donnees structurees schema.org publiees par l'organisateur).</t>
        </is>
      </c>
      <c r="Y9" s="7" t="inlineStr">
        <is>
          <t>16|4</t>
        </is>
      </c>
      <c r="Z9" s="7" t="inlineStr">
        <is>
          <t>IA / Intelligence artificielle + Tech / IT / Logiciels / Télécom</t>
        </is>
      </c>
      <c r="AA9" s="7" t="inlineStr">
        <is>
          <t>11</t>
        </is>
      </c>
      <c r="AB9" s="7" t="inlineStr"/>
      <c r="AC9" s="7" t="inlineStr">
        <is>
          <t>1|8</t>
        </is>
      </c>
      <c r="AD9" s="7" t="inlineStr"/>
      <c r="AE9" s="7" t="inlineStr">
        <is>
          <t>11</t>
        </is>
      </c>
      <c r="AF9" s="7" t="inlineStr">
        <is>
          <t>IA / Automatisation / No-code / Low-code</t>
        </is>
      </c>
      <c r="AG9" s="7" t="inlineStr">
        <is>
          <t>déduit</t>
        </is>
      </c>
      <c r="AH9" s="12" t="inlineStr">
        <is>
          <t>Deduit du secteur (axe 1)</t>
        </is>
      </c>
      <c r="AI9" s="7" t="inlineStr">
        <is>
          <t>4</t>
        </is>
      </c>
      <c r="AJ9" s="7" t="inlineStr">
        <is>
          <t>121-400</t>
        </is>
      </c>
      <c r="AK9" s="7" t="inlineStr">
        <is>
          <t>constaté</t>
        </is>
      </c>
      <c r="AL9" s="7" t="inlineStr">
        <is>
          <t>environ 300 participants</t>
        </is>
      </c>
      <c r="AM9" s="11" t="inlineStr">
        <is>
          <t>Chiffre annonce par l'organisateur WAN-IFRA pour l'edition 2026</t>
        </is>
      </c>
      <c r="AN9" s="7" t="inlineStr">
        <is>
          <t>haute</t>
        </is>
      </c>
      <c r="AO9" s="7" t="inlineStr">
        <is>
          <t>1|8</t>
        </is>
      </c>
      <c r="AP9" s="7" t="inlineStr">
        <is>
          <t>Décideurs PME/ETI + Journalistes / Médias</t>
        </is>
      </c>
      <c r="AQ9" s="7" t="inlineStr">
        <is>
          <t>constaté</t>
        </is>
      </c>
      <c r="AR9" s="12" t="inlineStr"/>
      <c r="AS9" s="7" t="inlineStr">
        <is>
          <t>2</t>
        </is>
      </c>
      <c r="AT9" s="7" t="inlineStr">
        <is>
          <t>Moyen</t>
        </is>
      </c>
      <c r="AU9" s="8" t="inlineStr">
        <is>
          <t>estimé</t>
        </is>
      </c>
      <c r="AV9" s="12" t="inlineStr">
        <is>
          <t>Tarif payant publie par Agenda Tech</t>
        </is>
      </c>
      <c r="AW9" s="7" t="inlineStr">
        <is>
          <t>S:16|4 L:11 N:4 P:1|8 A:2</t>
        </is>
      </c>
    </row>
    <row r="10">
      <c r="A10" s="10" t="inlineStr">
        <is>
          <t>Qoder Paris Night: From Weights to Production</t>
        </is>
      </c>
      <c r="B10" s="10" t="inlineStr">
        <is>
          <t>Station F</t>
        </is>
      </c>
      <c r="C10" s="10" t="inlineStr">
        <is>
          <t>2026-09-15</t>
        </is>
      </c>
      <c r="D10" s="10" t="inlineStr"/>
      <c r="E10" s="10" t="inlineStr"/>
      <c r="F10" s="10" t="inlineStr">
        <is>
          <t>non identifié publiquement</t>
        </is>
      </c>
      <c r="G10" s="10" t="inlineStr">
        <is>
          <t>non identifié publiquement</t>
        </is>
      </c>
      <c r="H10" s="10" t="inlineStr">
        <is>
          <t>Paris (arrondissement non communique)</t>
        </is>
      </c>
      <c r="I10" s="10" t="inlineStr">
        <is>
          <t>75</t>
        </is>
      </c>
      <c r="J10" s="10" t="inlineStr">
        <is>
          <t>présentiel</t>
        </is>
      </c>
      <c r="K10" s="11" t="inlineStr">
        <is>
          <t>Soirée networking B2B à Paris le 15 sept 2026 : démonstration Qoder, panel sur l'IA en production, speakers CTO/architects. Pour developers et tech leaders.</t>
        </is>
      </c>
      <c r="L10" s="11" t="inlineStr">
        <is>
          <t>non identifié publiquement</t>
        </is>
      </c>
      <c r="M10" s="10" t="inlineStr">
        <is>
          <t>Numerique, informatique, technologies</t>
        </is>
      </c>
      <c r="N10" s="10" t="inlineStr">
        <is>
          <t>Qoder Paris Night: From Weights to Production - Soirée networking B2B à Paris le 15 sept 2026 : démonstration Qoder, panel sur l'IA en production, speakers CT</t>
        </is>
      </c>
      <c r="O10" s="10" t="inlineStr">
        <is>
          <t>non identifié publiquement</t>
        </is>
      </c>
      <c r="P10" s="10" t="inlineStr">
        <is>
          <t>ESTIME</t>
        </is>
      </c>
      <c r="Q10" s="11" t="inlineStr">
        <is>
          <t>Effectif attendu publie par l'agregateur specialise Agenda Tech pour cette edition</t>
        </is>
      </c>
      <c r="R10" s="10" t="inlineStr">
        <is>
          <t>non identifié publiquement</t>
        </is>
      </c>
      <c r="S10" s="10" t="inlineStr">
        <is>
          <t>non</t>
        </is>
      </c>
      <c r="T10" s="11" t="inlineStr"/>
      <c r="U10" s="10" t="inlineStr">
        <is>
          <t>non identifié publiquement</t>
        </is>
      </c>
      <c r="V10" s="10" t="inlineStr">
        <is>
          <t>https://www.agenda-tech.com/events/qoder-paris-night-from-weights-to-production-2026</t>
        </is>
      </c>
      <c r="W10" s="10" t="inlineStr">
        <is>
          <t>2026-09-15</t>
        </is>
      </c>
      <c r="X10" s="11" t="inlineStr">
        <is>
          <t>Identifie via l'agregateur specialise Agenda Tech (donnees structurees schema.org publiees par l'organisateur).</t>
        </is>
      </c>
      <c r="Y10" s="7" t="inlineStr">
        <is>
          <t>4</t>
        </is>
      </c>
      <c r="Z10" s="7" t="inlineStr">
        <is>
          <t>Tech / IT / Logiciels / Télécom</t>
        </is>
      </c>
      <c r="AA10" s="7" t="inlineStr">
        <is>
          <t>11</t>
        </is>
      </c>
      <c r="AB10" s="7" t="inlineStr"/>
      <c r="AC10" s="7" t="inlineStr">
        <is>
          <t>1</t>
        </is>
      </c>
      <c r="AD10" s="7" t="inlineStr"/>
      <c r="AE10" s="7" t="inlineStr">
        <is>
          <t>11</t>
        </is>
      </c>
      <c r="AF10" s="7" t="inlineStr">
        <is>
          <t>IA / Automatisation / No-code / Low-code</t>
        </is>
      </c>
      <c r="AG10" s="7" t="inlineStr">
        <is>
          <t>constaté</t>
        </is>
      </c>
      <c r="AH10" s="12" t="inlineStr"/>
      <c r="AI10" s="7" t="inlineStr">
        <is>
          <t>3</t>
        </is>
      </c>
      <c r="AJ10" s="7" t="inlineStr">
        <is>
          <t>41-120</t>
        </is>
      </c>
      <c r="AK10" s="8" t="inlineStr">
        <is>
          <t>estimé</t>
        </is>
      </c>
      <c r="AL10" s="7" t="inlineStr">
        <is>
          <t>environ 77 participants</t>
        </is>
      </c>
      <c r="AM10" s="11" t="inlineStr">
        <is>
          <t>Effectif attendu publie par Agenda Tech (agregateur specialise, chiffre de l'organisateur ou de l'agregateur)</t>
        </is>
      </c>
      <c r="AN10" s="7" t="inlineStr">
        <is>
          <t>moyenne</t>
        </is>
      </c>
      <c r="AO10" s="7" t="inlineStr">
        <is>
          <t>1</t>
        </is>
      </c>
      <c r="AP10" s="7" t="inlineStr">
        <is>
          <t>Décideurs PME/ETI</t>
        </is>
      </c>
      <c r="AQ10" s="7" t="inlineStr">
        <is>
          <t>constaté</t>
        </is>
      </c>
      <c r="AR10" s="12" t="inlineStr"/>
      <c r="AS10" s="7" t="inlineStr">
        <is>
          <t>1</t>
        </is>
      </c>
      <c r="AT10" s="7" t="inlineStr">
        <is>
          <t>Facile</t>
        </is>
      </c>
      <c r="AU10" s="8" t="inlineStr">
        <is>
          <t>estimé</t>
        </is>
      </c>
      <c r="AV10" s="12" t="inlineStr">
        <is>
          <t>Tarif 'Gratuit' publie par Agenda Tech</t>
        </is>
      </c>
      <c r="AW10" s="7" t="inlineStr">
        <is>
          <t>S:4 L:11 N:3 P:1 A:1</t>
        </is>
      </c>
    </row>
    <row r="11">
      <c r="A11" s="10" t="inlineStr">
        <is>
          <t>Réseaux sociaux : ce qui fonctionne vraiment pour vendre en 2026</t>
        </is>
      </c>
      <c r="B11" s="10" t="inlineStr">
        <is>
          <t>CCI Paris Ile-de-France</t>
        </is>
      </c>
      <c r="C11" s="10" t="inlineStr">
        <is>
          <t>2026-09-15</t>
        </is>
      </c>
      <c r="D11" s="10" t="inlineStr"/>
      <c r="E11" s="10" t="inlineStr"/>
      <c r="F11" s="10" t="inlineStr">
        <is>
          <t>non identifié publiquement</t>
        </is>
      </c>
      <c r="G11" s="10" t="inlineStr">
        <is>
          <t>CCI Val-d'Oise, 35 boulevard du Port</t>
        </is>
      </c>
      <c r="H11" s="10" t="inlineStr">
        <is>
          <t>Cergy</t>
        </is>
      </c>
      <c r="I11" s="10" t="inlineStr">
        <is>
          <t>95</t>
        </is>
      </c>
      <c r="J11" s="10" t="inlineStr">
        <is>
          <t>présentiel</t>
        </is>
      </c>
      <c r="K11" s="11" t="inlineStr">
        <is>
          <t>Atelier sur les pratiques reseaux sociaux qui generent effectivement des ventes.</t>
        </is>
      </c>
      <c r="L11" s="11" t="inlineStr">
        <is>
          <t>non identifié publiquement</t>
        </is>
      </c>
      <c r="M11" s="10" t="inlineStr">
        <is>
          <t>Marketing, vente, numerique</t>
        </is>
      </c>
      <c r="N11" s="10" t="inlineStr">
        <is>
          <t>non identifié publiquement</t>
        </is>
      </c>
      <c r="O11" s="10" t="inlineStr">
        <is>
          <t>non identifié publiquement</t>
        </is>
      </c>
      <c r="P11" s="10" t="inlineStr"/>
      <c r="Q11" s="11" t="inlineStr"/>
      <c r="R11" s="10" t="inlineStr">
        <is>
          <t>inscription libre</t>
        </is>
      </c>
      <c r="S11" s="10" t="inlineStr">
        <is>
          <t>non</t>
        </is>
      </c>
      <c r="T11" s="11" t="inlineStr"/>
      <c r="U11" s="10" t="inlineStr">
        <is>
          <t>non identifié publiquement</t>
        </is>
      </c>
      <c r="V11" s="10" t="inlineStr">
        <is>
          <t>https://www.entreprises.cci-paris-idf.fr/evenements/reseaux-sociaux-ce-qui-fonctionne-vraiment-pour-vendre-en-2026</t>
        </is>
      </c>
      <c r="W11" s="10" t="inlineStr">
        <is>
          <t>2026-09-15</t>
        </is>
      </c>
      <c r="X11" s="11" t="inlineStr"/>
      <c r="Y11" s="7" t="inlineStr">
        <is>
          <t>4|5</t>
        </is>
      </c>
      <c r="Z11" s="7" t="inlineStr">
        <is>
          <t>Tech / IT / Logiciels / Télécom + Commerce / Distribution / E-commerce</t>
        </is>
      </c>
      <c r="AA11" s="7" t="inlineStr">
        <is>
          <t>0</t>
        </is>
      </c>
      <c r="AB11" s="7" t="inlineStr"/>
      <c r="AC11" s="7" t="inlineStr"/>
      <c r="AD11" s="7" t="inlineStr">
        <is>
          <t>2</t>
        </is>
      </c>
      <c r="AE11" s="7" t="inlineStr">
        <is>
          <t>0</t>
        </is>
      </c>
      <c r="AF11" s="7" t="inlineStr">
        <is>
          <t>Générique / Multi-éditeurs / Sans dominante</t>
        </is>
      </c>
      <c r="AG11" s="7" t="inlineStr">
        <is>
          <t>déduit</t>
        </is>
      </c>
      <c r="AH11" s="12" t="inlineStr">
        <is>
          <t>Deduit du secteur (axe 1)</t>
        </is>
      </c>
      <c r="AI11" s="7" t="inlineStr">
        <is>
          <t>2</t>
        </is>
      </c>
      <c r="AJ11" s="7" t="inlineStr">
        <is>
          <t>16-40</t>
        </is>
      </c>
      <c r="AK11" s="8" t="inlineStr">
        <is>
          <t>estimé</t>
        </is>
      </c>
      <c r="AL11" s="7" t="inlineStr">
        <is>
          <t>estimation : 15 a 60 participants</t>
        </is>
      </c>
      <c r="AM11" s="11" t="inlineStr">
        <is>
          <t>Modele de format (rendez-vous de chambre de commerce (atelier ou conference)), fourchette 15-60, plafonnee par la capacite du lieu (CCI Val-d'Oise, 35 boulevard du Port ~ 120)</t>
        </is>
      </c>
      <c r="AN11" s="7" t="inlineStr">
        <is>
          <t>moyenne</t>
        </is>
      </c>
      <c r="AO11" s="7" t="inlineStr">
        <is>
          <t>1</t>
        </is>
      </c>
      <c r="AP11" s="7" t="inlineStr">
        <is>
          <t>Décideurs PME/ETI</t>
        </is>
      </c>
      <c r="AQ11" s="8" t="inlineStr">
        <is>
          <t>estimé</t>
        </is>
      </c>
      <c r="AR11" s="12" t="inlineStr">
        <is>
          <t>Organisateur CCI : public cible structurel de dirigeants et collaborateurs de TPE-PME</t>
        </is>
      </c>
      <c r="AS11" s="7" t="inlineStr">
        <is>
          <t>2</t>
        </is>
      </c>
      <c r="AT11" s="7" t="inlineStr">
        <is>
          <t>Moyen</t>
        </is>
      </c>
      <c r="AU11" s="7" t="inlineStr">
        <is>
          <t>constaté</t>
        </is>
      </c>
      <c r="AV11" s="12" t="inlineStr"/>
      <c r="AW11" s="7" t="inlineStr">
        <is>
          <t>S:4|5 L:0 N:2 P:1 A:2</t>
        </is>
      </c>
    </row>
    <row r="12">
      <c r="A12" s="10" t="inlineStr">
        <is>
          <t>81e Congres National de l'Ordre des Experts-Comptables</t>
        </is>
      </c>
      <c r="B12" s="10" t="inlineStr">
        <is>
          <t>Conseil National de l'Ordre des Experts-Comptables (CNOEC)</t>
        </is>
      </c>
      <c r="C12" s="10" t="inlineStr">
        <is>
          <t>2026-09-16</t>
        </is>
      </c>
      <c r="D12" s="10" t="inlineStr">
        <is>
          <t>2026-09-18</t>
        </is>
      </c>
      <c r="E12" s="10" t="inlineStr"/>
      <c r="F12" s="10" t="inlineStr">
        <is>
          <t>annuel</t>
        </is>
      </c>
      <c r="G12" s="10" t="inlineStr">
        <is>
          <t>Paris Convention Centre (Hall 7, niveau 3, Paris Expo Porte de Versailles)</t>
        </is>
      </c>
      <c r="H12" s="10" t="inlineStr">
        <is>
          <t>Paris 15e</t>
        </is>
      </c>
      <c r="I12" s="10" t="inlineStr">
        <is>
          <t>75</t>
        </is>
      </c>
      <c r="J12" s="10" t="inlineStr">
        <is>
          <t>présentiel</t>
        </is>
      </c>
      <c r="K12" s="11" t="inlineStr">
        <is>
          <t>Congres annuel de la profession comptable. Theme 2026 : '[Re]fondation des cabinets : environnement - valeur - competences'.</t>
        </is>
      </c>
      <c r="L12" s="11" t="inlineStr">
        <is>
          <t>experts-comptables, commissaires aux comptes et collaborateurs de cabinets</t>
        </is>
      </c>
      <c r="M12" s="10" t="inlineStr">
        <is>
          <t>Expertise comptable, audit, conseil aux entreprises</t>
        </is>
      </c>
      <c r="N12" s="10" t="inlineStr">
        <is>
          <t>Outils et plateformes de cabinet, dematerialisation, IA appliquee a la production comptable</t>
        </is>
      </c>
      <c r="O12" s="10" t="inlineStr">
        <is>
          <t>environ 9 000 congressistes et 327 partenaires</t>
        </is>
      </c>
      <c r="P12" s="10" t="inlineStr">
        <is>
          <t>CONFIRME</t>
        </is>
      </c>
      <c r="Q12" s="11" t="inlineStr">
        <is>
          <t>Chiffres annonces par l'organisateur sur le site du congres (congres.experts-comptables.com), relayes par la fiche evenement Paris je t'aime</t>
        </is>
      </c>
      <c r="R12" s="10" t="inlineStr">
        <is>
          <t>billet payant</t>
        </is>
      </c>
      <c r="S12" s="10" t="inlineStr">
        <is>
          <t>oui</t>
        </is>
      </c>
      <c r="T12" s="11" t="inlineStr">
        <is>
          <t>Congres reserve a la profession comptable (experts-comptables, commissaires aux comptes, collaborateurs de cabinets)</t>
        </is>
      </c>
      <c r="U12" s="10" t="inlineStr">
        <is>
          <t>non identifié publiquement</t>
        </is>
      </c>
      <c r="V12" s="10" t="inlineStr">
        <is>
          <t>https://congres.experts-comptables.com/presentation/l-evenement.htm</t>
        </is>
      </c>
      <c r="W12" s="10" t="inlineStr">
        <is>
          <t>2026-09-15</t>
        </is>
      </c>
      <c r="X12" s="11" t="inlineStr">
        <is>
          <t>EVENEMENT A TRES FORTE VALEUR ICP : les experts-comptables sont le premier prescripteur des PME francaises. Horaires publies : mercredi 16/09 8h30-20h, jeudi 17/09 8h-20h, vendredi 18/09 8h-17h. Conserve malgre la restriction professionnelle, conformement a la regle enoncee.</t>
        </is>
      </c>
      <c r="Y12" s="7" t="inlineStr">
        <is>
          <t>9</t>
        </is>
      </c>
      <c r="Z12" s="7" t="inlineStr">
        <is>
          <t>Services professionnels / Conseil / Juridique / Comptabilité</t>
        </is>
      </c>
      <c r="AA12" s="7" t="inlineStr">
        <is>
          <t>5</t>
        </is>
      </c>
      <c r="AB12" s="7" t="inlineStr">
        <is>
          <t>6</t>
        </is>
      </c>
      <c r="AC12" s="7" t="inlineStr">
        <is>
          <t>4|7</t>
        </is>
      </c>
      <c r="AD12" s="7" t="inlineStr">
        <is>
          <t>2</t>
        </is>
      </c>
      <c r="AE12" s="7" t="inlineStr">
        <is>
          <t>5</t>
        </is>
      </c>
      <c r="AF12" s="7" t="inlineStr">
        <is>
          <t>GED / Dématérialisation / Workflow documentaire</t>
        </is>
      </c>
      <c r="AG12" s="7" t="inlineStr">
        <is>
          <t>constaté</t>
        </is>
      </c>
      <c r="AH12" s="12" t="inlineStr"/>
      <c r="AI12" s="7" t="inlineStr">
        <is>
          <t>6</t>
        </is>
      </c>
      <c r="AJ12" s="7" t="inlineStr">
        <is>
          <t>&gt;2000</t>
        </is>
      </c>
      <c r="AK12" s="7" t="inlineStr">
        <is>
          <t>constaté</t>
        </is>
      </c>
      <c r="AL12" s="7" t="inlineStr">
        <is>
          <t>environ 9 000 congressistes et 327 partenaires</t>
        </is>
      </c>
      <c r="AM12" s="11" t="inlineStr">
        <is>
          <t>Chiffre publie par l'organisateur (colonne taille_source)</t>
        </is>
      </c>
      <c r="AN12" s="7" t="inlineStr">
        <is>
          <t>haute</t>
        </is>
      </c>
      <c r="AO12" s="7" t="inlineStr">
        <is>
          <t>4|7</t>
        </is>
      </c>
      <c r="AP12" s="7" t="inlineStr">
        <is>
          <t>Partenaires / Prescripteurs / Consultants / Intégrateurs + Experts / Advisors / Associations professionnelles</t>
        </is>
      </c>
      <c r="AQ12" s="7" t="inlineStr">
        <is>
          <t>constaté</t>
        </is>
      </c>
      <c r="AR12" s="12" t="inlineStr"/>
      <c r="AS12" s="7" t="inlineStr">
        <is>
          <t>2</t>
        </is>
      </c>
      <c r="AT12" s="7" t="inlineStr">
        <is>
          <t>Moyen</t>
        </is>
      </c>
      <c r="AU12" s="7" t="inlineStr">
        <is>
          <t>constaté</t>
        </is>
      </c>
      <c r="AV12" s="12" t="inlineStr"/>
      <c r="AW12" s="7" t="inlineStr">
        <is>
          <t>S:9 L:5 N:6 P:4|7 A:2</t>
        </is>
      </c>
    </row>
    <row r="13">
      <c r="A13" s="10" t="inlineStr">
        <is>
          <t>France Digitale Day 2026 (FDDay, 14e edition)</t>
        </is>
      </c>
      <c r="B13" s="10" t="inlineStr">
        <is>
          <t>France Digitale</t>
        </is>
      </c>
      <c r="C13" s="10" t="inlineStr">
        <is>
          <t>2026-09-16</t>
        </is>
      </c>
      <c r="D13" s="10" t="inlineStr"/>
      <c r="E13" s="10" t="inlineStr"/>
      <c r="F13" s="10" t="inlineStr">
        <is>
          <t>annuel</t>
        </is>
      </c>
      <c r="G13" s="10" t="inlineStr">
        <is>
          <t>Musee des Arts Forains</t>
        </is>
      </c>
      <c r="H13" s="10" t="inlineStr">
        <is>
          <t>Paris 12e</t>
        </is>
      </c>
      <c r="I13" s="10" t="inlineStr">
        <is>
          <t>75</t>
        </is>
      </c>
      <c r="J13" s="10" t="inlineStr">
        <is>
          <t>présentiel</t>
        </is>
      </c>
      <c r="K13" s="11" t="inlineStr">
        <is>
          <t>Un des principaux rendez-vous europeens de l'ecosysteme startup : fondateurs, investisseurs, leaders d'opinion et decideurs publics de la scene tech mondiale.</t>
        </is>
      </c>
      <c r="L13" s="11" t="inlineStr">
        <is>
          <t>founders, VCs, thought leaders and policy makers from the worldwide tech scene</t>
        </is>
      </c>
      <c r="M13" s="10" t="inlineStr">
        <is>
          <t>Startup, numerique, capital-risque, innovation</t>
        </is>
      </c>
      <c r="N13" s="10" t="inlineStr">
        <is>
          <t>non identifié publiquement</t>
        </is>
      </c>
      <c r="O13" s="10" t="inlineStr">
        <is>
          <t>plus de 4 000 fondateurs et investisseurs</t>
        </is>
      </c>
      <c r="P13" s="10" t="inlineStr">
        <is>
          <t>CONFIRME</t>
        </is>
      </c>
      <c r="Q13" s="11" t="inlineStr">
        <is>
          <t>Chiffre annonce par l'organisateur sur fdday.eu et la page agenda France Digitale</t>
        </is>
      </c>
      <c r="R13" s="10" t="inlineStr">
        <is>
          <t>billet payant</t>
        </is>
      </c>
      <c r="S13" s="10" t="inlineStr">
        <is>
          <t>non</t>
        </is>
      </c>
      <c r="T13" s="11" t="inlineStr"/>
      <c r="U13" s="10" t="inlineStr">
        <is>
          <t>non identifié publiquement</t>
        </is>
      </c>
      <c r="V13" s="10" t="inlineStr">
        <is>
          <t>https://fdday.eu/</t>
        </is>
      </c>
      <c r="W13" s="10" t="inlineStr">
        <is>
          <t>2026-09-15</t>
        </is>
      </c>
      <c r="X13" s="11" t="inlineStr">
        <is>
          <t>Debut annonce a 8h15, l'evenement se poursuit en soiree. Le site francedigitale.org/evenements renvoie un 404 ; page agenda accessible via francedigitale.org/agenda/fdday-2026. Densite d'investisseurs et de fondateurs elevee, mais public plutot startup que PME/ETI traditionnelles. ECART DE DATE SIGNALE : l'agregateur Agenda Tech porte deux fiches pour cet evenement (FDDay 2026 au 15 septembre, France Digital Day au 16 septembre). Le site officiel fdday.eu et la billetterie Eventbrite indiquent le mercredi 16 septembre 2026 : date officielle retenue.</t>
        </is>
      </c>
      <c r="Y13" s="7" t="inlineStr">
        <is>
          <t>4|8</t>
        </is>
      </c>
      <c r="Z13" s="7" t="inlineStr">
        <is>
          <t>Tech / IT / Logiciels / Télécom + Finance / Banque / Assurance</t>
        </is>
      </c>
      <c r="AA13" s="7" t="inlineStr">
        <is>
          <t>0</t>
        </is>
      </c>
      <c r="AB13" s="7" t="inlineStr">
        <is>
          <t>6</t>
        </is>
      </c>
      <c r="AC13" s="7" t="inlineStr"/>
      <c r="AD13" s="7" t="inlineStr">
        <is>
          <t>2</t>
        </is>
      </c>
      <c r="AE13" s="7" t="inlineStr">
        <is>
          <t>0</t>
        </is>
      </c>
      <c r="AF13" s="7" t="inlineStr">
        <is>
          <t>Générique / Multi-éditeurs / Sans dominante</t>
        </is>
      </c>
      <c r="AG13" s="7" t="inlineStr">
        <is>
          <t>déduit</t>
        </is>
      </c>
      <c r="AH13" s="12" t="inlineStr">
        <is>
          <t>Deduit du secteur (axe 1)</t>
        </is>
      </c>
      <c r="AI13" s="7" t="inlineStr">
        <is>
          <t>6</t>
        </is>
      </c>
      <c r="AJ13" s="7" t="inlineStr">
        <is>
          <t>&gt;2000</t>
        </is>
      </c>
      <c r="AK13" s="7" t="inlineStr">
        <is>
          <t>constaté</t>
        </is>
      </c>
      <c r="AL13" s="7" t="inlineStr">
        <is>
          <t>plus de 4 000 fondateurs et investisseurs</t>
        </is>
      </c>
      <c r="AM13" s="11" t="inlineStr">
        <is>
          <t>Chiffre publie par l'organisateur (colonne taille_source)</t>
        </is>
      </c>
      <c r="AN13" s="7" t="inlineStr">
        <is>
          <t>haute</t>
        </is>
      </c>
      <c r="AO13" s="7" t="inlineStr">
        <is>
          <t>5|6</t>
        </is>
      </c>
      <c r="AP13" s="7" t="inlineStr">
        <is>
          <t>Pairs / Concurrents / Acteurs de l'offre + Investisseurs / Écosystème financement</t>
        </is>
      </c>
      <c r="AQ13" s="8" t="inlineStr">
        <is>
          <t>estimé</t>
        </is>
      </c>
      <c r="AR13" s="12" t="inlineStr">
        <is>
          <t>Evenement d'ecosysteme startup : acteurs de l'offre et investisseurs</t>
        </is>
      </c>
      <c r="AS13" s="7" t="inlineStr">
        <is>
          <t>2</t>
        </is>
      </c>
      <c r="AT13" s="7" t="inlineStr">
        <is>
          <t>Moyen</t>
        </is>
      </c>
      <c r="AU13" s="7" t="inlineStr">
        <is>
          <t>constaté</t>
        </is>
      </c>
      <c r="AV13" s="12" t="inlineStr"/>
      <c r="AW13" s="7" t="inlineStr">
        <is>
          <t>S:4|8 L:0 N:6 P:5|6 A:2</t>
        </is>
      </c>
    </row>
    <row r="14">
      <c r="A14" s="10" t="inlineStr">
        <is>
          <t>L'IA dans les collectivités, servir les agents et les citoyens</t>
        </is>
      </c>
      <c r="B14" s="10" t="inlineStr">
        <is>
          <t>Infopro Digital — La Gazette des communes</t>
        </is>
      </c>
      <c r="C14" s="10" t="inlineStr">
        <is>
          <t>2026-09-16</t>
        </is>
      </c>
      <c r="D14" s="10" t="inlineStr"/>
      <c r="E14" s="10" t="inlineStr"/>
      <c r="F14" s="10" t="inlineStr">
        <is>
          <t>non identifié publiquement</t>
        </is>
      </c>
      <c r="G14" s="10" t="inlineStr">
        <is>
          <t>OnePoint</t>
        </is>
      </c>
      <c r="H14" s="10" t="inlineStr">
        <is>
          <t>Paris (arrondissement selon le lieu)</t>
        </is>
      </c>
      <c r="I14" s="10" t="inlineStr">
        <is>
          <t>75</t>
        </is>
      </c>
      <c r="J14" s="10" t="inlineStr">
        <is>
          <t>présentiel</t>
        </is>
      </c>
      <c r="K14" s="11" t="inlineStr">
        <is>
          <t>Conférence hybride sur l'IA dans les collectivités. Explorez les usages, enjeux éthiques et innovations au service des agents et citoyens.</t>
        </is>
      </c>
      <c r="L14" s="11" t="inlineStr">
        <is>
          <t>non identifié publiquement</t>
        </is>
      </c>
      <c r="M14" s="10" t="inlineStr">
        <is>
          <t>Numerique, informatique, technologies</t>
        </is>
      </c>
      <c r="N14" s="10" t="inlineStr">
        <is>
          <t>L'IA dans les collectivités, servir les agents et les citoyens - Conférence hybride sur l'IA dans les collectivités. Explorez les usages, enjeux éthiques et innovations au ser</t>
        </is>
      </c>
      <c r="O14" s="10" t="inlineStr">
        <is>
          <t>non identifié publiquement</t>
        </is>
      </c>
      <c r="P14" s="10" t="inlineStr">
        <is>
          <t>ESTIME</t>
        </is>
      </c>
      <c r="Q14" s="11" t="inlineStr">
        <is>
          <t>Effectif attendu publie par l'agregateur specialise Agenda Tech pour cette edition</t>
        </is>
      </c>
      <c r="R14" s="10" t="inlineStr">
        <is>
          <t>non identifié publiquement</t>
        </is>
      </c>
      <c r="S14" s="10" t="inlineStr">
        <is>
          <t>non</t>
        </is>
      </c>
      <c r="T14" s="11" t="inlineStr"/>
      <c r="U14" s="10" t="inlineStr">
        <is>
          <t>non identifié publiquement</t>
        </is>
      </c>
      <c r="V14" s="10" t="inlineStr">
        <is>
          <t>https://www.agenda-tech.com/events/ia-collectivites-paris-2026</t>
        </is>
      </c>
      <c r="W14" s="10" t="inlineStr">
        <is>
          <t>2026-09-15</t>
        </is>
      </c>
      <c r="X14" s="11" t="inlineStr">
        <is>
          <t>Identifie via l'agregateur specialise Agenda Tech (donnees structurees schema.org publiees par l'organisateur).</t>
        </is>
      </c>
      <c r="Y14" s="7" t="inlineStr">
        <is>
          <t>16|13</t>
        </is>
      </c>
      <c r="Z14" s="7" t="inlineStr">
        <is>
          <t>IA / Intelligence artificielle + Secteur public / Collectivités / Institutions</t>
        </is>
      </c>
      <c r="AA14" s="7" t="inlineStr">
        <is>
          <t>11</t>
        </is>
      </c>
      <c r="AB14" s="7" t="inlineStr"/>
      <c r="AC14" s="7" t="inlineStr">
        <is>
          <t>9</t>
        </is>
      </c>
      <c r="AD14" s="7" t="inlineStr"/>
      <c r="AE14" s="7" t="inlineStr">
        <is>
          <t>11</t>
        </is>
      </c>
      <c r="AF14" s="7" t="inlineStr">
        <is>
          <t>IA / Automatisation / No-code / Low-code</t>
        </is>
      </c>
      <c r="AG14" s="7" t="inlineStr">
        <is>
          <t>déduit</t>
        </is>
      </c>
      <c r="AH14" s="12" t="inlineStr">
        <is>
          <t>Deduit du secteur (axe 1)</t>
        </is>
      </c>
      <c r="AI14" s="7" t="inlineStr">
        <is>
          <t>4</t>
        </is>
      </c>
      <c r="AJ14" s="7" t="inlineStr">
        <is>
          <t>121-400</t>
        </is>
      </c>
      <c r="AK14" s="8" t="inlineStr">
        <is>
          <t>estimé</t>
        </is>
      </c>
      <c r="AL14" s="7" t="inlineStr">
        <is>
          <t>environ 300 participants</t>
        </is>
      </c>
      <c r="AM14" s="11" t="inlineStr">
        <is>
          <t>Effectif attendu publie par Agenda Tech (agregateur specialise, chiffre de l'organisateur ou de l'agregateur)</t>
        </is>
      </c>
      <c r="AN14" s="7" t="inlineStr">
        <is>
          <t>moyenne</t>
        </is>
      </c>
      <c r="AO14" s="7" t="inlineStr">
        <is>
          <t>9</t>
        </is>
      </c>
      <c r="AP14" s="7" t="inlineStr">
        <is>
          <t>Institutionnels / Secteur public</t>
        </is>
      </c>
      <c r="AQ14" s="7" t="inlineStr">
        <is>
          <t>constaté</t>
        </is>
      </c>
      <c r="AR14" s="12" t="inlineStr"/>
      <c r="AS14" s="7" t="inlineStr">
        <is>
          <t>1</t>
        </is>
      </c>
      <c r="AT14" s="7" t="inlineStr">
        <is>
          <t>Facile</t>
        </is>
      </c>
      <c r="AU14" s="8" t="inlineStr">
        <is>
          <t>estimé</t>
        </is>
      </c>
      <c r="AV14" s="12" t="inlineStr">
        <is>
          <t>Tarif 'Gratuit' publie par Agenda Tech</t>
        </is>
      </c>
      <c r="AW14" s="7" t="inlineStr">
        <is>
          <t>S:16|13 L:11 N:4 P:9 A:1</t>
        </is>
      </c>
    </row>
    <row r="15">
      <c r="A15" s="10" t="inlineStr">
        <is>
          <t>SFAR Le Congres 2026</t>
        </is>
      </c>
      <c r="B15" s="10" t="inlineStr">
        <is>
          <t>SFAR - Societe Francaise d'Anesthesie et de Reanimation</t>
        </is>
      </c>
      <c r="C15" s="10" t="inlineStr">
        <is>
          <t>2026-09-16</t>
        </is>
      </c>
      <c r="D15" s="10" t="inlineStr">
        <is>
          <t>2026-09-18</t>
        </is>
      </c>
      <c r="E15" s="10" t="inlineStr"/>
      <c r="F15" s="10" t="inlineStr">
        <is>
          <t>annuel</t>
        </is>
      </c>
      <c r="G15" s="10" t="inlineStr">
        <is>
          <t>Palais des Congres de Paris (Porte Maillot)</t>
        </is>
      </c>
      <c r="H15" s="10" t="inlineStr">
        <is>
          <t>Paris 17e</t>
        </is>
      </c>
      <c r="I15" s="10" t="inlineStr">
        <is>
          <t>75</t>
        </is>
      </c>
      <c r="J15" s="10" t="inlineStr">
        <is>
          <t>présentiel</t>
        </is>
      </c>
      <c r="K15" s="11" t="inlineStr">
        <is>
          <t>Congres national de la societe savante d'anesthesie-reanimation.</t>
        </is>
      </c>
      <c r="L15" s="11" t="inlineStr">
        <is>
          <t>non identifié publiquement</t>
        </is>
      </c>
      <c r="M15" s="10" t="inlineStr">
        <is>
          <t>Sante, anesthesie-reanimation</t>
        </is>
      </c>
      <c r="N15" s="10" t="inlineStr">
        <is>
          <t>non identifié publiquement</t>
        </is>
      </c>
      <c r="O15" s="10" t="inlineStr">
        <is>
          <t>non identifié publiquement</t>
        </is>
      </c>
      <c r="P15" s="10" t="inlineStr">
        <is>
          <t>CONFIRME</t>
        </is>
      </c>
      <c r="Q15" s="11" t="inlineStr">
        <is>
          <t>Fourchette annoncee par la SFAR pour son congres annuel</t>
        </is>
      </c>
      <c r="R15" s="10" t="inlineStr">
        <is>
          <t>billet payant</t>
        </is>
      </c>
      <c r="S15" s="10" t="inlineStr">
        <is>
          <t>oui</t>
        </is>
      </c>
      <c r="T15" s="11" t="inlineStr">
        <is>
          <t>Congres de societe savante reserve aux professionnels de sante</t>
        </is>
      </c>
      <c r="U15" s="10" t="inlineStr">
        <is>
          <t>non identifié publiquement</t>
        </is>
      </c>
      <c r="V15" s="10" t="inlineStr">
        <is>
          <t>https://www.viparis.com/actualites-evenements/evenements/sfar-le-congres-1</t>
        </is>
      </c>
      <c r="W15" s="10" t="inlineStr">
        <is>
          <t>2026-09-15</t>
        </is>
      </c>
      <c r="X15" s="11" t="inlineStr">
        <is>
          <t>Identifie via l'agenda du lieu (Viparis).</t>
        </is>
      </c>
      <c r="Y15" s="7" t="inlineStr">
        <is>
          <t>7</t>
        </is>
      </c>
      <c r="Z15" s="7" t="inlineStr">
        <is>
          <t>Santé / Pharma / Biotech / Medtech</t>
        </is>
      </c>
      <c r="AA15" s="7" t="inlineStr"/>
      <c r="AB15" s="7" t="inlineStr"/>
      <c r="AC15" s="7" t="inlineStr">
        <is>
          <t>7</t>
        </is>
      </c>
      <c r="AD15" s="7" t="inlineStr">
        <is>
          <t>2</t>
        </is>
      </c>
      <c r="AE15" s="7" t="inlineStr">
        <is>
          <t>0</t>
        </is>
      </c>
      <c r="AF15" s="7" t="inlineStr">
        <is>
          <t>Générique / Multi-éditeurs / Sans dominante</t>
        </is>
      </c>
      <c r="AG15" s="8" t="inlineStr">
        <is>
          <t>estimé</t>
        </is>
      </c>
      <c r="AH15" s="12" t="inlineStr">
        <is>
          <t>Aucune dimension logicielle dans le positionnement de l'organisateur : rattache au 0 (sans dominante) plutot que laisse vide, conformement a la demande de non-vide</t>
        </is>
      </c>
      <c r="AI15" s="7" t="inlineStr">
        <is>
          <t>6</t>
        </is>
      </c>
      <c r="AJ15" s="7" t="inlineStr">
        <is>
          <t>&gt;2000</t>
        </is>
      </c>
      <c r="AK15" s="7" t="inlineStr">
        <is>
          <t>constaté</t>
        </is>
      </c>
      <c r="AL15" s="7" t="inlineStr">
        <is>
          <t>entre 5 000 et 7 000 participants (anesthesistes-reanimateurs, IADE, reanimateurs)</t>
        </is>
      </c>
      <c r="AM15" s="11" t="inlineStr">
        <is>
          <t>Fourchette annoncee par la SFAR pour son congres annuel</t>
        </is>
      </c>
      <c r="AN15" s="7" t="inlineStr">
        <is>
          <t>haute</t>
        </is>
      </c>
      <c r="AO15" s="7" t="inlineStr">
        <is>
          <t>7</t>
        </is>
      </c>
      <c r="AP15" s="7" t="inlineStr">
        <is>
          <t>Experts / Advisors / Associations professionnelles</t>
        </is>
      </c>
      <c r="AQ15" s="7" t="inlineStr">
        <is>
          <t>constaté</t>
        </is>
      </c>
      <c r="AR15" s="12" t="inlineStr"/>
      <c r="AS15" s="7" t="inlineStr">
        <is>
          <t>2</t>
        </is>
      </c>
      <c r="AT15" s="7" t="inlineStr">
        <is>
          <t>Moyen</t>
        </is>
      </c>
      <c r="AU15" s="7" t="inlineStr">
        <is>
          <t>constaté</t>
        </is>
      </c>
      <c r="AV15" s="12" t="inlineStr"/>
      <c r="AW15" s="7" t="inlineStr">
        <is>
          <t>S:7 L:0 N:6 P:7 A:2</t>
        </is>
      </c>
    </row>
    <row r="16">
      <c r="A16" s="10" t="inlineStr">
        <is>
          <t>Solutions CSE Paris 2026</t>
        </is>
      </c>
      <c r="B16" s="10" t="inlineStr">
        <is>
          <t>SolutionsCSE</t>
        </is>
      </c>
      <c r="C16" s="10" t="inlineStr">
        <is>
          <t>2026-09-16</t>
        </is>
      </c>
      <c r="D16" s="10" t="inlineStr">
        <is>
          <t>2026-09-17</t>
        </is>
      </c>
      <c r="E16" s="10" t="inlineStr"/>
      <c r="F16" s="10" t="inlineStr">
        <is>
          <t>annuel</t>
        </is>
      </c>
      <c r="G16" s="10" t="inlineStr">
        <is>
          <t>Paris Expo Porte de Versailles - Hall 7.1</t>
        </is>
      </c>
      <c r="H16" s="10" t="inlineStr">
        <is>
          <t>Paris 15e</t>
        </is>
      </c>
      <c r="I16" s="10" t="inlineStr">
        <is>
          <t>75</t>
        </is>
      </c>
      <c r="J16" s="10" t="inlineStr">
        <is>
          <t>présentiel</t>
        </is>
      </c>
      <c r="K16" s="11" t="inlineStr">
        <is>
          <t>Le salon des acteurs des Comités Sociaux Economiques</t>
        </is>
      </c>
      <c r="L16" s="11" t="inlineStr">
        <is>
          <t>Visitorat : réservé aux professionnels (fiche CCI Paris Ile-de-France)</t>
        </is>
      </c>
      <c r="M16" s="10" t="inlineStr">
        <is>
          <t>Marché des collectivités</t>
        </is>
      </c>
      <c r="N16" s="10" t="inlineStr">
        <is>
          <t>non identifié publiquement</t>
        </is>
      </c>
      <c r="O16" s="10" t="inlineStr">
        <is>
          <t>non identifié publiquement</t>
        </is>
      </c>
      <c r="P16" s="10" t="inlineStr">
        <is>
          <t>CONFIRME</t>
        </is>
      </c>
      <c r="Q16" s="11" t="inlineStr">
        <is>
          <t>Chiffres annonces par l'organisateur SolutionsCSE (Comexposium) pour l'edition parisienne 2026</t>
        </is>
      </c>
      <c r="R16" s="10" t="inlineStr">
        <is>
          <t>inscription libre</t>
        </is>
      </c>
      <c r="S16" s="10" t="inlineStr">
        <is>
          <t>oui</t>
        </is>
      </c>
      <c r="T16" s="11" t="inlineStr">
        <is>
          <t>Salon reserve aux elus et acteurs des Comites Sociaux et Economiques</t>
        </is>
      </c>
      <c r="U16" s="10" t="inlineStr">
        <is>
          <t>non identifié publiquement</t>
        </is>
      </c>
      <c r="V16" s="10" t="inlineStr">
        <is>
          <t>https://www.solutions-cse.org/salons-cse/salon-cse-paris</t>
        </is>
      </c>
      <c r="W16" s="10" t="inlineStr">
        <is>
          <t>2026-09-15</t>
        </is>
      </c>
      <c r="X16" s="11" t="inlineStr">
        <is>
          <t>SIGNAL ICP FORT : le CSE est obligatoire des 11 salaries, donc public structurellement au-dessus du plancher ICP de 10 salaries. CONFLIT DE DATES RESOLU : le repertoire CCI Paris IDF annonce les 16-17 octobre 2026 ; l'agenda Viparis du lieu et le site de l'organisateur concordent sur les 16-17 septembre 2026. Dates de l'organisateur retenues.</t>
        </is>
      </c>
      <c r="Y16" s="7" t="inlineStr">
        <is>
          <t>13</t>
        </is>
      </c>
      <c r="Z16" s="7" t="inlineStr">
        <is>
          <t>Secteur public / Collectivités / Institutions</t>
        </is>
      </c>
      <c r="AA16" s="7" t="inlineStr"/>
      <c r="AB16" s="7" t="inlineStr"/>
      <c r="AC16" s="7" t="inlineStr">
        <is>
          <t>9</t>
        </is>
      </c>
      <c r="AD16" s="7" t="inlineStr">
        <is>
          <t>2</t>
        </is>
      </c>
      <c r="AE16" s="7" t="inlineStr">
        <is>
          <t>0</t>
        </is>
      </c>
      <c r="AF16" s="7" t="inlineStr">
        <is>
          <t>Générique / Multi-éditeurs / Sans dominante</t>
        </is>
      </c>
      <c r="AG16" s="8" t="inlineStr">
        <is>
          <t>estimé</t>
        </is>
      </c>
      <c r="AH16" s="12" t="inlineStr">
        <is>
          <t>Aucune dimension logicielle dans le positionnement de l'organisateur : rattache au 0 (sans dominante) plutot que laisse vide, conformement a la demande de non-vide</t>
        </is>
      </c>
      <c r="AI16" s="7" t="inlineStr">
        <is>
          <t>6</t>
        </is>
      </c>
      <c r="AJ16" s="7" t="inlineStr">
        <is>
          <t>&gt;2000</t>
        </is>
      </c>
      <c r="AK16" s="7" t="inlineStr">
        <is>
          <t>constaté</t>
        </is>
      </c>
      <c r="AL16" s="7" t="inlineStr">
        <is>
          <t>4 000 visites et 230 exposants attendus</t>
        </is>
      </c>
      <c r="AM16" s="11" t="inlineStr">
        <is>
          <t>Chiffres annonces par l'organisateur SolutionsCSE (Comexposium) pour l'edition parisienne 2026</t>
        </is>
      </c>
      <c r="AN16" s="7" t="inlineStr">
        <is>
          <t>haute</t>
        </is>
      </c>
      <c r="AO16" s="7" t="inlineStr">
        <is>
          <t>9</t>
        </is>
      </c>
      <c r="AP16" s="7" t="inlineStr">
        <is>
          <t>Institutionnels / Secteur public</t>
        </is>
      </c>
      <c r="AQ16" s="7" t="inlineStr">
        <is>
          <t>constaté</t>
        </is>
      </c>
      <c r="AR16" s="12" t="inlineStr"/>
      <c r="AS16" s="7" t="inlineStr">
        <is>
          <t>2</t>
        </is>
      </c>
      <c r="AT16" s="7" t="inlineStr">
        <is>
          <t>Moyen</t>
        </is>
      </c>
      <c r="AU16" s="7" t="inlineStr">
        <is>
          <t>constaté</t>
        </is>
      </c>
      <c r="AV16" s="12" t="inlineStr"/>
      <c r="AW16" s="7" t="inlineStr">
        <is>
          <t>S:13 L:0 N:6 P:9 A:2</t>
        </is>
      </c>
    </row>
    <row r="17">
      <c r="A17" s="10" t="inlineStr">
        <is>
          <t>Accords de libre-echange UE-Asie : un levier de croissance pour les entreprises francaises ?</t>
        </is>
      </c>
      <c r="B17" s="10" t="inlineStr">
        <is>
          <t>CCI Paris Ile-de-France</t>
        </is>
      </c>
      <c r="C17" s="10" t="inlineStr">
        <is>
          <t>2026-09-17</t>
        </is>
      </c>
      <c r="D17" s="10" t="inlineStr"/>
      <c r="E17" s="10" t="inlineStr"/>
      <c r="F17" s="10" t="inlineStr">
        <is>
          <t>non identifié publiquement</t>
        </is>
      </c>
      <c r="G17" s="10" t="inlineStr">
        <is>
          <t>CCI Versailles-Yvelines, avenue de Paris</t>
        </is>
      </c>
      <c r="H17" s="10" t="inlineStr">
        <is>
          <t>Versailles</t>
        </is>
      </c>
      <c r="I17" s="10" t="inlineStr">
        <is>
          <t>78</t>
        </is>
      </c>
      <c r="J17" s="10" t="inlineStr">
        <is>
          <t>présentiel</t>
        </is>
      </c>
      <c r="K17" s="11" t="inlineStr">
        <is>
          <t>Conference sur les opportunites ouvertes par les accords de libre-echange entre l'UE et l'Asie.</t>
        </is>
      </c>
      <c r="L17" s="11" t="inlineStr">
        <is>
          <t>non identifié publiquement</t>
        </is>
      </c>
      <c r="M17" s="10" t="inlineStr">
        <is>
          <t>International, commerce exterieur</t>
        </is>
      </c>
      <c r="N17" s="10" t="inlineStr">
        <is>
          <t>non identifié publiquement</t>
        </is>
      </c>
      <c r="O17" s="10" t="inlineStr">
        <is>
          <t>non identifié publiquement</t>
        </is>
      </c>
      <c r="P17" s="10" t="inlineStr"/>
      <c r="Q17" s="11" t="inlineStr"/>
      <c r="R17" s="10" t="inlineStr">
        <is>
          <t>inscription libre</t>
        </is>
      </c>
      <c r="S17" s="10" t="inlineStr">
        <is>
          <t>non</t>
        </is>
      </c>
      <c r="T17" s="11" t="inlineStr"/>
      <c r="U17" s="10" t="inlineStr">
        <is>
          <t>non identifié publiquement</t>
        </is>
      </c>
      <c r="V17" s="10" t="inlineStr">
        <is>
          <t>https://www.entreprises.cci-paris-idf.fr/evenements/accords-de-libre-echange-ue-asie-un-levier-de-croissance-pour-les-entreprises-francaises</t>
        </is>
      </c>
      <c r="W17" s="10" t="inlineStr">
        <is>
          <t>2026-09-15</t>
        </is>
      </c>
      <c r="X17" s="11" t="inlineStr"/>
      <c r="Y17" s="7" t="inlineStr">
        <is>
          <t>5</t>
        </is>
      </c>
      <c r="Z17" s="7" t="inlineStr">
        <is>
          <t>Commerce / Distribution / E-commerce</t>
        </is>
      </c>
      <c r="AA17" s="7" t="inlineStr"/>
      <c r="AB17" s="7" t="inlineStr"/>
      <c r="AC17" s="7" t="inlineStr"/>
      <c r="AD17" s="7" t="inlineStr">
        <is>
          <t>2</t>
        </is>
      </c>
      <c r="AE17" s="7" t="inlineStr">
        <is>
          <t>0</t>
        </is>
      </c>
      <c r="AF17" s="7" t="inlineStr">
        <is>
          <t>Générique / Multi-éditeurs / Sans dominante</t>
        </is>
      </c>
      <c r="AG17" s="8" t="inlineStr">
        <is>
          <t>estimé</t>
        </is>
      </c>
      <c r="AH17" s="12" t="inlineStr">
        <is>
          <t>Aucune dimension logicielle dans le positionnement de l'organisateur : rattache au 0 (sans dominante) plutot que laisse vide, conformement a la demande de non-vide</t>
        </is>
      </c>
      <c r="AI17" s="7" t="inlineStr">
        <is>
          <t>3</t>
        </is>
      </c>
      <c r="AJ17" s="7" t="inlineStr">
        <is>
          <t>41-120</t>
        </is>
      </c>
      <c r="AK17" s="8" t="inlineStr">
        <is>
          <t>estimé</t>
        </is>
      </c>
      <c r="AL17" s="7" t="inlineStr">
        <is>
          <t>estimation : 120 a 120 participants</t>
        </is>
      </c>
      <c r="AM17" s="11" t="inlineStr">
        <is>
          <t>Modele de format (conference technique ou sectorielle), fourchette 120-120, plafonnee par la capacite du lieu (CCI Versailles-Yvelines, avenue de Paris ~ 120)</t>
        </is>
      </c>
      <c r="AN17" s="7" t="inlineStr">
        <is>
          <t>moyenne</t>
        </is>
      </c>
      <c r="AO17" s="7" t="inlineStr">
        <is>
          <t>1</t>
        </is>
      </c>
      <c r="AP17" s="7" t="inlineStr">
        <is>
          <t>Décideurs PME/ETI</t>
        </is>
      </c>
      <c r="AQ17" s="8" t="inlineStr">
        <is>
          <t>estimé</t>
        </is>
      </c>
      <c r="AR17" s="12" t="inlineStr">
        <is>
          <t>Organisateur CCI : public cible structurel de dirigeants et collaborateurs de TPE-PME</t>
        </is>
      </c>
      <c r="AS17" s="7" t="inlineStr">
        <is>
          <t>2</t>
        </is>
      </c>
      <c r="AT17" s="7" t="inlineStr">
        <is>
          <t>Moyen</t>
        </is>
      </c>
      <c r="AU17" s="7" t="inlineStr">
        <is>
          <t>constaté</t>
        </is>
      </c>
      <c r="AV17" s="12" t="inlineStr"/>
      <c r="AW17" s="7" t="inlineStr">
        <is>
          <t>S:5 L:0 N:3 P:1 A:2</t>
        </is>
      </c>
    </row>
    <row r="18">
      <c r="A18" s="10" t="inlineStr">
        <is>
          <t>Afterwork des Entrepreneurs Paris - 17 septembre 2026</t>
        </is>
      </c>
      <c r="B18" s="10" t="inlineStr">
        <is>
          <t>CPME Paris - Les Entrepreneurs Paris</t>
        </is>
      </c>
      <c r="C18" s="10" t="inlineStr">
        <is>
          <t>2026-09-17</t>
        </is>
      </c>
      <c r="D18" s="10" t="inlineStr"/>
      <c r="E18" s="10" t="inlineStr"/>
      <c r="F18" s="10" t="inlineStr">
        <is>
          <t>non identifié publiquement</t>
        </is>
      </c>
      <c r="G18" s="10" t="inlineStr">
        <is>
          <t>Restaurant Solis</t>
        </is>
      </c>
      <c r="H18" s="10" t="inlineStr">
        <is>
          <t>non identifié publiquement</t>
        </is>
      </c>
      <c r="I18" s="10" t="inlineStr">
        <is>
          <t>75</t>
        </is>
      </c>
      <c r="J18" s="10" t="inlineStr">
        <is>
          <t>présentiel</t>
        </is>
      </c>
      <c r="K18" s="11" t="inlineStr">
        <is>
          <t>Afterwork de networking des Entrepreneurs Paris, de 19h a 22h.</t>
        </is>
      </c>
      <c r="L18" s="11" t="inlineStr">
        <is>
          <t>dirigeants et entrepreneurs adherents ou invites de la CPME Paris</t>
        </is>
      </c>
      <c r="M18" s="10" t="inlineStr">
        <is>
          <t>Tous secteurs (organisation patronale interprofessionnelle)</t>
        </is>
      </c>
      <c r="N18" s="10" t="inlineStr">
        <is>
          <t>non identifié publiquement</t>
        </is>
      </c>
      <c r="O18" s="10" t="inlineStr">
        <is>
          <t>non identifié publiquement</t>
        </is>
      </c>
      <c r="P18" s="10" t="inlineStr"/>
      <c r="Q18" s="11" t="inlineStr"/>
      <c r="R18" s="10" t="inlineStr">
        <is>
          <t>réservé adhérents</t>
        </is>
      </c>
      <c r="S18" s="10" t="inlineStr">
        <is>
          <t>oui</t>
        </is>
      </c>
      <c r="T18" s="11" t="inlineStr">
        <is>
          <t>Evenement d'organisation patronale, oriente adherents CPME Paris</t>
        </is>
      </c>
      <c r="U18" s="10" t="inlineStr">
        <is>
          <t>non identifié publiquement</t>
        </is>
      </c>
      <c r="V18" s="10" t="inlineStr">
        <is>
          <t>https://cpmeparis.fr/agenda/</t>
        </is>
      </c>
      <c r="W18" s="10" t="inlineStr">
        <is>
          <t>2026-09-15</t>
        </is>
      </c>
      <c r="X18" s="11" t="inlineStr">
        <is>
          <t>Identifie via l'agenda public de la CPME Paris. Adresse du restaurant Solis non communiquee sur la fiche ; Paris presume mais non confirme, d'ou une commune 'non identifiee'.</t>
        </is>
      </c>
      <c r="Y18" s="7" t="inlineStr">
        <is>
          <t>0</t>
        </is>
      </c>
      <c r="Z18" s="7" t="inlineStr">
        <is>
          <t>Générique / Transversal</t>
        </is>
      </c>
      <c r="AA18" s="7" t="inlineStr"/>
      <c r="AB18" s="7" t="inlineStr"/>
      <c r="AC18" s="7" t="inlineStr">
        <is>
          <t>1</t>
        </is>
      </c>
      <c r="AD18" s="7" t="inlineStr">
        <is>
          <t>2</t>
        </is>
      </c>
      <c r="AE18" s="7" t="inlineStr">
        <is>
          <t>0</t>
        </is>
      </c>
      <c r="AF18" s="7" t="inlineStr">
        <is>
          <t>Générique / Multi-éditeurs / Sans dominante</t>
        </is>
      </c>
      <c r="AG18" s="8" t="inlineStr">
        <is>
          <t>estimé</t>
        </is>
      </c>
      <c r="AH18" s="12" t="inlineStr">
        <is>
          <t>Aucune dimension logicielle dans le positionnement de l'organisateur : rattache au 0 (sans dominante) plutot que laisse vide, conformement a la demande de non-vide</t>
        </is>
      </c>
      <c r="AI18" s="7" t="inlineStr">
        <is>
          <t>3</t>
        </is>
      </c>
      <c r="AJ18" s="7" t="inlineStr">
        <is>
          <t>41-120</t>
        </is>
      </c>
      <c r="AK18" s="8" t="inlineStr">
        <is>
          <t>estimé</t>
        </is>
      </c>
      <c r="AL18" s="7" t="inlineStr">
        <is>
          <t>estimation : 40 a 120 participants</t>
        </is>
      </c>
      <c r="AM18" s="11" t="inlineStr">
        <is>
          <t>Modele de format (apero, meetup ou afterwork communautaire), fourchette 40-120, plafonnee par la capacite du lieu (Restaurant Solis ~ 120)</t>
        </is>
      </c>
      <c r="AN18" s="7" t="inlineStr">
        <is>
          <t>moyenne</t>
        </is>
      </c>
      <c r="AO18" s="7" t="inlineStr">
        <is>
          <t>1</t>
        </is>
      </c>
      <c r="AP18" s="7" t="inlineStr">
        <is>
          <t>Décideurs PME/ETI</t>
        </is>
      </c>
      <c r="AQ18" s="7" t="inlineStr">
        <is>
          <t>constaté</t>
        </is>
      </c>
      <c r="AR18" s="12" t="inlineStr"/>
      <c r="AS18" s="7" t="inlineStr">
        <is>
          <t>2</t>
        </is>
      </c>
      <c r="AT18" s="7" t="inlineStr">
        <is>
          <t>Moyen</t>
        </is>
      </c>
      <c r="AU18" s="7" t="inlineStr">
        <is>
          <t>constaté</t>
        </is>
      </c>
      <c r="AV18" s="12" t="inlineStr"/>
      <c r="AW18" s="7" t="inlineStr">
        <is>
          <t>S:0 L:0 N:3 P:1 A:2</t>
        </is>
      </c>
    </row>
    <row r="19">
      <c r="A19" s="10" t="inlineStr">
        <is>
          <t>L'apero de l'IA #13 Paris</t>
        </is>
      </c>
      <c r="B19" s="10" t="inlineStr">
        <is>
          <t>Hub France IA</t>
        </is>
      </c>
      <c r="C19" s="10" t="inlineStr">
        <is>
          <t>2026-09-17</t>
        </is>
      </c>
      <c r="D19" s="10" t="inlineStr"/>
      <c r="E19" s="10" t="inlineStr"/>
      <c r="F19" s="10" t="inlineStr">
        <is>
          <t>mensuel</t>
        </is>
      </c>
      <c r="G19" s="10" t="inlineStr">
        <is>
          <t>non identifié publiquement</t>
        </is>
      </c>
      <c r="H19" s="10" t="inlineStr">
        <is>
          <t>Paris (arrondissement non communique)</t>
        </is>
      </c>
      <c r="I19" s="10" t="inlineStr">
        <is>
          <t>75</t>
        </is>
      </c>
      <c r="J19" s="10" t="inlineStr">
        <is>
          <t>présentiel</t>
        </is>
      </c>
      <c r="K19" s="11" t="inlineStr">
        <is>
          <t>Rendez-vous informel mensuel de l'ecosysteme IA francais organise par le Hub France IA.</t>
        </is>
      </c>
      <c r="L19" s="11" t="inlineStr">
        <is>
          <t>ecosysteme IA (adherents et communaute du Hub France IA)</t>
        </is>
      </c>
      <c r="M19" s="10" t="inlineStr">
        <is>
          <t>Intelligence artificielle, numerique</t>
        </is>
      </c>
      <c r="N19" s="10" t="inlineStr">
        <is>
          <t>Intelligence artificielle (tous usages)</t>
        </is>
      </c>
      <c r="O19" s="10" t="inlineStr">
        <is>
          <t>non identifié publiquement</t>
        </is>
      </c>
      <c r="P19" s="10" t="inlineStr"/>
      <c r="Q19" s="11" t="inlineStr"/>
      <c r="R19" s="10" t="inlineStr">
        <is>
          <t>inscription libre</t>
        </is>
      </c>
      <c r="S19" s="10" t="inlineStr">
        <is>
          <t>non</t>
        </is>
      </c>
      <c r="T19" s="11" t="inlineStr"/>
      <c r="U19" s="10" t="inlineStr">
        <is>
          <t>non identifié publiquement</t>
        </is>
      </c>
      <c r="V19" s="10" t="inlineStr">
        <is>
          <t>https://www.hub-franceia.fr/evenements-v2/</t>
        </is>
      </c>
      <c r="W19" s="10" t="inlineStr">
        <is>
          <t>2026-09-15</t>
        </is>
      </c>
      <c r="X19" s="11" t="inlineStr">
        <is>
          <t>FORMAT COURT TRES ALIGNE : apero mensuel de l'ecosysteme IA a Paris, format propice au reseautage direct. Le Hub France IA organise aussi des Matinales trimestrielles chez ses adherents et des Afterworks 'Decideurs'. Lieu precis non publie sur la page agenda au 15/09/2026.</t>
        </is>
      </c>
      <c r="Y19" s="7" t="inlineStr">
        <is>
          <t>16|4</t>
        </is>
      </c>
      <c r="Z19" s="7" t="inlineStr">
        <is>
          <t>IA / Intelligence artificielle + Tech / IT / Logiciels / Télécom</t>
        </is>
      </c>
      <c r="AA19" s="7" t="inlineStr">
        <is>
          <t>11</t>
        </is>
      </c>
      <c r="AB19" s="7" t="inlineStr"/>
      <c r="AC19" s="7" t="inlineStr"/>
      <c r="AD19" s="7" t="inlineStr">
        <is>
          <t>2</t>
        </is>
      </c>
      <c r="AE19" s="7" t="inlineStr">
        <is>
          <t>11</t>
        </is>
      </c>
      <c r="AF19" s="7" t="inlineStr">
        <is>
          <t>IA / Automatisation / No-code / Low-code</t>
        </is>
      </c>
      <c r="AG19" s="7" t="inlineStr">
        <is>
          <t>déduit</t>
        </is>
      </c>
      <c r="AH19" s="12" t="inlineStr">
        <is>
          <t>Deduit du secteur (axe 1)</t>
        </is>
      </c>
      <c r="AI19" s="7" t="inlineStr">
        <is>
          <t>3</t>
        </is>
      </c>
      <c r="AJ19" s="7" t="inlineStr">
        <is>
          <t>41-120</t>
        </is>
      </c>
      <c r="AK19" s="8" t="inlineStr">
        <is>
          <t>estimé</t>
        </is>
      </c>
      <c r="AL19" s="7" t="inlineStr">
        <is>
          <t>estimation : 40 a 150 participants</t>
        </is>
      </c>
      <c r="AM19" s="11" t="inlineStr">
        <is>
          <t>Modele de format (apero, meetup ou afterwork communautaire), fourchette 40-150</t>
        </is>
      </c>
      <c r="AN19" s="7" t="inlineStr">
        <is>
          <t>moyenne</t>
        </is>
      </c>
      <c r="AO19" s="7" t="inlineStr">
        <is>
          <t>3</t>
        </is>
      </c>
      <c r="AP19" s="7" t="inlineStr">
        <is>
          <t>Opérationnels / Utilisateurs métier</t>
        </is>
      </c>
      <c r="AQ19" s="8" t="inlineStr">
        <is>
          <t>estimé</t>
        </is>
      </c>
      <c r="AR19" s="12" t="inlineStr">
        <is>
          <t>Conference technique IA : profils operationnels et utilisateurs metier</t>
        </is>
      </c>
      <c r="AS19" s="7" t="inlineStr">
        <is>
          <t>2</t>
        </is>
      </c>
      <c r="AT19" s="7" t="inlineStr">
        <is>
          <t>Moyen</t>
        </is>
      </c>
      <c r="AU19" s="7" t="inlineStr">
        <is>
          <t>constaté</t>
        </is>
      </c>
      <c r="AV19" s="12" t="inlineStr"/>
      <c r="AW19" s="7" t="inlineStr">
        <is>
          <t>S:16|4 L:11 N:3 P:3 A:2</t>
        </is>
      </c>
    </row>
    <row r="20">
      <c r="A20" s="10" t="inlineStr">
        <is>
          <t>Le Cercle des Decideurs : les entreprises peuvent-elles survivre a l'IA ?</t>
        </is>
      </c>
      <c r="B20" s="10" t="inlineStr">
        <is>
          <t>CCI Paris Ile-de-France</t>
        </is>
      </c>
      <c r="C20" s="10" t="inlineStr">
        <is>
          <t>2026-09-17</t>
        </is>
      </c>
      <c r="D20" s="10" t="inlineStr"/>
      <c r="E20" s="10" t="inlineStr"/>
      <c r="F20" s="10" t="inlineStr">
        <is>
          <t>non identifié publiquement</t>
        </is>
      </c>
      <c r="G20" s="10" t="inlineStr">
        <is>
          <t>Theatre Jean Vilar, 16 place de Stalingrad</t>
        </is>
      </c>
      <c r="H20" s="10" t="inlineStr">
        <is>
          <t>Suresnes</t>
        </is>
      </c>
      <c r="I20" s="10" t="inlineStr">
        <is>
          <t>92</t>
        </is>
      </c>
      <c r="J20" s="10" t="inlineStr">
        <is>
          <t>présentiel</t>
        </is>
      </c>
      <c r="K20" s="11" t="inlineStr">
        <is>
          <t>Rencontre de dirigeants consacree a l'impact de l'intelligence artificielle sur les entreprises.</t>
        </is>
      </c>
      <c r="L20" s="11" t="inlineStr">
        <is>
          <t>non identifié publiquement (format 'cercle des decideurs')</t>
        </is>
      </c>
      <c r="M20" s="10" t="inlineStr">
        <is>
          <t>Tous secteurs</t>
        </is>
      </c>
      <c r="N20" s="10" t="inlineStr">
        <is>
          <t>Intelligence artificielle generative, agents IA, automatisation</t>
        </is>
      </c>
      <c r="O20" s="10" t="inlineStr">
        <is>
          <t>non identifié publiquement</t>
        </is>
      </c>
      <c r="P20" s="10" t="inlineStr"/>
      <c r="Q20" s="11" t="inlineStr"/>
      <c r="R20" s="10" t="inlineStr">
        <is>
          <t>inscription libre</t>
        </is>
      </c>
      <c r="S20" s="10" t="inlineStr">
        <is>
          <t>non</t>
        </is>
      </c>
      <c r="T20" s="11" t="inlineStr"/>
      <c r="U20" s="10" t="inlineStr">
        <is>
          <t>non identifié publiquement</t>
        </is>
      </c>
      <c r="V20" s="10" t="inlineStr">
        <is>
          <t>https://www.entreprises.cci-paris-idf.fr/evenements/le-cercle-des-decideurs-les-entreprises-peuvent-elles-survivre-lia</t>
        </is>
      </c>
      <c r="W20" s="10" t="inlineStr">
        <is>
          <t>2026-09-15</t>
        </is>
      </c>
      <c r="X20" s="11" t="inlineStr">
        <is>
          <t>TRES FORT ALIGNEMENT : conference de dirigeants entierement consacree a l'IA, en petite couronne (92). Format 'cercle' propice a la prise de contact.</t>
        </is>
      </c>
      <c r="Y20" s="7" t="inlineStr">
        <is>
          <t>16</t>
        </is>
      </c>
      <c r="Z20" s="7" t="inlineStr">
        <is>
          <t>IA / Intelligence artificielle</t>
        </is>
      </c>
      <c r="AA20" s="7" t="inlineStr">
        <is>
          <t>11</t>
        </is>
      </c>
      <c r="AB20" s="7" t="inlineStr"/>
      <c r="AC20" s="7" t="inlineStr">
        <is>
          <t>1</t>
        </is>
      </c>
      <c r="AD20" s="7" t="inlineStr">
        <is>
          <t>2</t>
        </is>
      </c>
      <c r="AE20" s="7" t="inlineStr">
        <is>
          <t>11</t>
        </is>
      </c>
      <c r="AF20" s="7" t="inlineStr">
        <is>
          <t>IA / Automatisation / No-code / Low-code</t>
        </is>
      </c>
      <c r="AG20" s="7" t="inlineStr">
        <is>
          <t>constaté</t>
        </is>
      </c>
      <c r="AH20" s="12" t="inlineStr"/>
      <c r="AI20" s="7" t="inlineStr">
        <is>
          <t>2</t>
        </is>
      </c>
      <c r="AJ20" s="7" t="inlineStr">
        <is>
          <t>16-40</t>
        </is>
      </c>
      <c r="AK20" s="8" t="inlineStr">
        <is>
          <t>estimé</t>
        </is>
      </c>
      <c r="AL20" s="7" t="inlineStr">
        <is>
          <t>estimation : 20 a 60 participants</t>
        </is>
      </c>
      <c r="AM20" s="11" t="inlineStr">
        <is>
          <t>Modele de format (dejeuner, cercle ou club de dirigeants), fourchette 20-60, plafonnee par la capacite du lieu (Theatre Jean Vilar, 16 place de Stalingr ~ 700)</t>
        </is>
      </c>
      <c r="AN20" s="7" t="inlineStr">
        <is>
          <t>moyenne</t>
        </is>
      </c>
      <c r="AO20" s="7" t="inlineStr">
        <is>
          <t>1</t>
        </is>
      </c>
      <c r="AP20" s="7" t="inlineStr">
        <is>
          <t>Décideurs PME/ETI</t>
        </is>
      </c>
      <c r="AQ20" s="7" t="inlineStr">
        <is>
          <t>constaté</t>
        </is>
      </c>
      <c r="AR20" s="12" t="inlineStr"/>
      <c r="AS20" s="7" t="inlineStr">
        <is>
          <t>2</t>
        </is>
      </c>
      <c r="AT20" s="7" t="inlineStr">
        <is>
          <t>Moyen</t>
        </is>
      </c>
      <c r="AU20" s="7" t="inlineStr">
        <is>
          <t>constaté</t>
        </is>
      </c>
      <c r="AV20" s="12" t="inlineStr"/>
      <c r="AW20" s="7" t="inlineStr">
        <is>
          <t>S:16 L:11 N:2 P:1 A:2</t>
        </is>
      </c>
    </row>
    <row r="21">
      <c r="A21" s="10" t="inlineStr">
        <is>
          <t>Pigment Experience Workshop</t>
        </is>
      </c>
      <c r="B21" s="10" t="inlineStr">
        <is>
          <t>Pigment</t>
        </is>
      </c>
      <c r="C21" s="10" t="inlineStr">
        <is>
          <t>2026-09-17</t>
        </is>
      </c>
      <c r="D21" s="10" t="inlineStr"/>
      <c r="E21" s="10" t="inlineStr"/>
      <c r="F21" s="10" t="inlineStr">
        <is>
          <t>non identifié publiquement</t>
        </is>
      </c>
      <c r="G21" s="10" t="inlineStr">
        <is>
          <t>Patchwork</t>
        </is>
      </c>
      <c r="H21" s="10" t="inlineStr">
        <is>
          <t>Paris (arrondissement selon le lieu)</t>
        </is>
      </c>
      <c r="I21" s="10" t="inlineStr">
        <is>
          <t>75</t>
        </is>
      </c>
      <c r="J21" s="10" t="inlineStr">
        <is>
          <t>présentiel</t>
        </is>
      </c>
      <c r="K21" s="11" t="inlineStr">
        <is>
          <t>Atelier pratique Pigment à Paris. Apprenez la modélisation, créez des applications de planification et testez les fonctionnalités IA avec nos experts.</t>
        </is>
      </c>
      <c r="L21" s="11" t="inlineStr">
        <is>
          <t>non identifié publiquement</t>
        </is>
      </c>
      <c r="M21" s="10" t="inlineStr">
        <is>
          <t>Numerique, informatique, technologies</t>
        </is>
      </c>
      <c r="N21" s="10" t="inlineStr">
        <is>
          <t xml:space="preserve">Pigment Experience Workshop - Atelier pratique Pigment à Paris. Apprenez la modélisation, créez des applications de planification et testez </t>
        </is>
      </c>
      <c r="O21" s="10" t="inlineStr">
        <is>
          <t>non identifié publiquement</t>
        </is>
      </c>
      <c r="P21" s="10" t="inlineStr"/>
      <c r="Q21" s="11" t="inlineStr"/>
      <c r="R21" s="10" t="inlineStr">
        <is>
          <t>non identifié publiquement</t>
        </is>
      </c>
      <c r="S21" s="10" t="inlineStr">
        <is>
          <t>non</t>
        </is>
      </c>
      <c r="T21" s="11" t="inlineStr"/>
      <c r="U21" s="10" t="inlineStr">
        <is>
          <t>non identifié publiquement</t>
        </is>
      </c>
      <c r="V21" s="10" t="inlineStr">
        <is>
          <t>https://www.agenda-tech.com/events/pigment-experience-workshop-2026-2</t>
        </is>
      </c>
      <c r="W21" s="10" t="inlineStr">
        <is>
          <t>2026-09-15</t>
        </is>
      </c>
      <c r="X21" s="11" t="inlineStr">
        <is>
          <t>Identifie via l'agregateur specialise Agenda Tech (donnees structurees schema.org publiees par l'organisateur).</t>
        </is>
      </c>
      <c r="Y21" s="7" t="inlineStr">
        <is>
          <t>4</t>
        </is>
      </c>
      <c r="Z21" s="7" t="inlineStr">
        <is>
          <t>Tech / IT / Logiciels / Télécom</t>
        </is>
      </c>
      <c r="AA21" s="7" t="inlineStr">
        <is>
          <t>0</t>
        </is>
      </c>
      <c r="AB21" s="7" t="inlineStr"/>
      <c r="AC21" s="7" t="inlineStr">
        <is>
          <t>7</t>
        </is>
      </c>
      <c r="AD21" s="7" t="inlineStr"/>
      <c r="AE21" s="7" t="inlineStr">
        <is>
          <t>0</t>
        </is>
      </c>
      <c r="AF21" s="7" t="inlineStr">
        <is>
          <t>Générique / Multi-éditeurs / Sans dominante</t>
        </is>
      </c>
      <c r="AG21" s="7" t="inlineStr">
        <is>
          <t>déduit</t>
        </is>
      </c>
      <c r="AH21" s="12" t="inlineStr">
        <is>
          <t>Deduit du secteur (axe 1)</t>
        </is>
      </c>
      <c r="AI21" s="7" t="inlineStr">
        <is>
          <t>5</t>
        </is>
      </c>
      <c r="AJ21" s="7" t="inlineStr">
        <is>
          <t>401-2000</t>
        </is>
      </c>
      <c r="AK21" s="8" t="inlineStr">
        <is>
          <t>estimé</t>
        </is>
      </c>
      <c r="AL21" s="7" t="inlineStr">
        <is>
          <t>estimation : 300 a 1500 participants</t>
        </is>
      </c>
      <c r="AM21" s="11" t="inlineStr">
        <is>
          <t>Modele de format (convention client d'editeur ou d'integrateur), fourchette 300-1500</t>
        </is>
      </c>
      <c r="AN21" s="7" t="inlineStr">
        <is>
          <t>moyenne</t>
        </is>
      </c>
      <c r="AO21" s="7" t="inlineStr">
        <is>
          <t>7</t>
        </is>
      </c>
      <c r="AP21" s="7" t="inlineStr">
        <is>
          <t>Experts / Advisors / Associations professionnelles</t>
        </is>
      </c>
      <c r="AQ21" s="7" t="inlineStr">
        <is>
          <t>constaté</t>
        </is>
      </c>
      <c r="AR21" s="12" t="inlineStr"/>
      <c r="AS21" s="7" t="inlineStr">
        <is>
          <t>2</t>
        </is>
      </c>
      <c r="AT21" s="7" t="inlineStr">
        <is>
          <t>Moyen</t>
        </is>
      </c>
      <c r="AU21" s="8" t="inlineStr">
        <is>
          <t>estimé</t>
        </is>
      </c>
      <c r="AV21" s="12" t="inlineStr">
        <is>
          <t>Billetterie en vente libre (mention 'Voir tarifs sur le site' chez Agenda Tech), sans gratuite confirmee</t>
        </is>
      </c>
      <c r="AW21" s="7" t="inlineStr">
        <is>
          <t>S:4 L:0 N:5 P:7 A:2</t>
        </is>
      </c>
    </row>
    <row r="22">
      <c r="A22" s="10" t="inlineStr">
        <is>
          <t>Reeduca 2026</t>
        </is>
      </c>
      <c r="B22" s="10" t="inlineStr">
        <is>
          <t>RX France (Reed Expositions)</t>
        </is>
      </c>
      <c r="C22" s="10" t="inlineStr">
        <is>
          <t>2026-09-17</t>
        </is>
      </c>
      <c r="D22" s="10" t="inlineStr">
        <is>
          <t>2026-09-19</t>
        </is>
      </c>
      <c r="E22" s="10" t="inlineStr"/>
      <c r="F22" s="10" t="inlineStr">
        <is>
          <t>annuel</t>
        </is>
      </c>
      <c r="G22" s="10" t="inlineStr">
        <is>
          <t>Paris Expo Porte de Versailles</t>
        </is>
      </c>
      <c r="H22" s="10" t="inlineStr">
        <is>
          <t>Paris 15e</t>
        </is>
      </c>
      <c r="I22" s="10" t="inlineStr">
        <is>
          <t>75</t>
        </is>
      </c>
      <c r="J22" s="10" t="inlineStr">
        <is>
          <t>présentiel</t>
        </is>
      </c>
      <c r="K22" s="11" t="inlineStr">
        <is>
          <t>L'événement des professionnels de la rééducation</t>
        </is>
      </c>
      <c r="L22" s="11" t="inlineStr">
        <is>
          <t>Visitorat : réservé aux professionnels (fiche CCI Paris Ile-de-France)</t>
        </is>
      </c>
      <c r="M22" s="10" t="inlineStr">
        <is>
          <t>Santé, médecine, pharmacie, biotechnologies et équipements</t>
        </is>
      </c>
      <c r="N22" s="10" t="inlineStr">
        <is>
          <t>non identifié publiquement</t>
        </is>
      </c>
      <c r="O22" s="10" t="inlineStr">
        <is>
          <t>non identifié publiquement</t>
        </is>
      </c>
      <c r="P22" s="10" t="inlineStr"/>
      <c r="Q22" s="11" t="inlineStr"/>
      <c r="R22" s="10" t="inlineStr">
        <is>
          <t>inscription libre</t>
        </is>
      </c>
      <c r="S22" s="10" t="inlineStr">
        <is>
          <t>oui</t>
        </is>
      </c>
      <c r="T22" s="11" t="inlineStr">
        <is>
          <t>Salon reserve aux professionnels de la reeducation (kinesitherapeutes, ergotherapeutes, etc.)</t>
        </is>
      </c>
      <c r="U22" s="10" t="inlineStr">
        <is>
          <t>non identifié publiquement</t>
        </is>
      </c>
      <c r="V22" s="10" t="inlineStr">
        <is>
          <t>https://www.cci-paris-idf.fr/fr/evenements-salons/salons-foires-paris-ile-de-france/reeduca</t>
        </is>
      </c>
      <c r="W22" s="10" t="inlineStr">
        <is>
          <t>2026-09-15</t>
        </is>
      </c>
      <c r="X22" s="11" t="inlineStr">
        <is>
          <t>Profession de sante liberale : structures souvent sous 10 salaries, mais salon frequente aussi par centres, cliniques et distributeurs. Conserve, a arbitrer par l'utilisateur.</t>
        </is>
      </c>
      <c r="Y22" s="7" t="inlineStr">
        <is>
          <t>7</t>
        </is>
      </c>
      <c r="Z22" s="7" t="inlineStr">
        <is>
          <t>Santé / Pharma / Biotech / Medtech</t>
        </is>
      </c>
      <c r="AA22" s="7" t="inlineStr"/>
      <c r="AB22" s="7" t="inlineStr"/>
      <c r="AC22" s="7" t="inlineStr">
        <is>
          <t>3</t>
        </is>
      </c>
      <c r="AD22" s="7" t="inlineStr">
        <is>
          <t>2</t>
        </is>
      </c>
      <c r="AE22" s="7" t="inlineStr">
        <is>
          <t>0</t>
        </is>
      </c>
      <c r="AF22" s="7" t="inlineStr">
        <is>
          <t>Générique / Multi-éditeurs / Sans dominante</t>
        </is>
      </c>
      <c r="AG22" s="8" t="inlineStr">
        <is>
          <t>estimé</t>
        </is>
      </c>
      <c r="AH22" s="12" t="inlineStr">
        <is>
          <t>Aucune dimension logicielle dans le positionnement de l'organisateur : rattache au 0 (sans dominante) plutot que laisse vide, conformement a la demande de non-vide</t>
        </is>
      </c>
      <c r="AI22" s="7" t="inlineStr">
        <is>
          <t>6</t>
        </is>
      </c>
      <c r="AJ22" s="7" t="inlineStr">
        <is>
          <t>&gt;2000</t>
        </is>
      </c>
      <c r="AK22" s="8" t="inlineStr">
        <is>
          <t>estimé</t>
        </is>
      </c>
      <c r="AL22" s="7" t="inlineStr">
        <is>
          <t>estimation : 3000 a 30000 participants</t>
        </is>
      </c>
      <c r="AM22" s="11" t="inlineStr">
        <is>
          <t>Modele de format (salon professionnel d'un operateur de salons), fourchette 3000-30000, plafonnee par la capacite du lieu (Paris Expo Porte de Versailles ~ 200000)</t>
        </is>
      </c>
      <c r="AN22" s="7" t="inlineStr">
        <is>
          <t>moyenne</t>
        </is>
      </c>
      <c r="AO22" s="7" t="inlineStr">
        <is>
          <t>3</t>
        </is>
      </c>
      <c r="AP22" s="7" t="inlineStr">
        <is>
          <t>Opérationnels / Utilisateurs métier</t>
        </is>
      </c>
      <c r="AQ22" s="7" t="inlineStr">
        <is>
          <t>constaté</t>
        </is>
      </c>
      <c r="AR22" s="12" t="inlineStr"/>
      <c r="AS22" s="7" t="inlineStr">
        <is>
          <t>2</t>
        </is>
      </c>
      <c r="AT22" s="7" t="inlineStr">
        <is>
          <t>Moyen</t>
        </is>
      </c>
      <c r="AU22" s="7" t="inlineStr">
        <is>
          <t>constaté</t>
        </is>
      </c>
      <c r="AV22" s="12" t="inlineStr"/>
      <c r="AW22" s="7" t="inlineStr">
        <is>
          <t>S:7 L:0 N:6 P:3 A:2</t>
        </is>
      </c>
    </row>
    <row r="23">
      <c r="A23" s="10" t="inlineStr">
        <is>
          <t>Science &amp; Technology : Nanolive (seminaire Genopole)</t>
        </is>
      </c>
      <c r="B23" s="10" t="inlineStr">
        <is>
          <t>Genopole / Nanolive</t>
        </is>
      </c>
      <c r="C23" s="10" t="inlineStr">
        <is>
          <t>2026-09-17</t>
        </is>
      </c>
      <c r="D23" s="10" t="inlineStr"/>
      <c r="E23" s="10" t="inlineStr"/>
      <c r="F23" s="10" t="inlineStr">
        <is>
          <t>non identifié publiquement</t>
        </is>
      </c>
      <c r="G23" s="10" t="inlineStr">
        <is>
          <t>Genethon</t>
        </is>
      </c>
      <c r="H23" s="10" t="inlineStr">
        <is>
          <t>Evry-Courcouronnes</t>
        </is>
      </c>
      <c r="I23" s="10" t="inlineStr">
        <is>
          <t>91</t>
        </is>
      </c>
      <c r="J23" s="10" t="inlineStr">
        <is>
          <t>présentiel</t>
        </is>
      </c>
      <c r="K23" s="11" t="inlineStr">
        <is>
          <t>Seminaire sur l'imagerie holographique de cellules vivantes : technologies sans marquage avec la resolution d'un microscope confocal.</t>
        </is>
      </c>
      <c r="L23" s="11" t="inlineStr">
        <is>
          <t>non identifié publiquement</t>
        </is>
      </c>
      <c r="M23" s="10" t="inlineStr">
        <is>
          <t>Biotechnologies, instrumentation scientifique, sante</t>
        </is>
      </c>
      <c r="N23" s="10" t="inlineStr">
        <is>
          <t>non identifié publiquement</t>
        </is>
      </c>
      <c r="O23" s="10" t="inlineStr">
        <is>
          <t>non identifié publiquement</t>
        </is>
      </c>
      <c r="P23" s="10" t="inlineStr"/>
      <c r="Q23" s="11" t="inlineStr"/>
      <c r="R23" s="10" t="inlineStr">
        <is>
          <t>inscription libre</t>
        </is>
      </c>
      <c r="S23" s="10" t="inlineStr">
        <is>
          <t>non</t>
        </is>
      </c>
      <c r="T23" s="11" t="inlineStr"/>
      <c r="U23" s="10" t="inlineStr">
        <is>
          <t>non identifié publiquement</t>
        </is>
      </c>
      <c r="V23" s="10" t="inlineStr">
        <is>
          <t>https://www.genopole.fr/agenda/</t>
        </is>
      </c>
      <c r="W23" s="10" t="inlineStr">
        <is>
          <t>2026-09-15</t>
        </is>
      </c>
      <c r="X23" s="11" t="inlineStr">
        <is>
          <t>Identifie via l'agenda du biocluster Genopole (Essonne). Un des rares evenements identifies dans le departement 91 sur la periode.</t>
        </is>
      </c>
      <c r="Y23" s="7" t="inlineStr">
        <is>
          <t>7</t>
        </is>
      </c>
      <c r="Z23" s="7" t="inlineStr">
        <is>
          <t>Santé / Pharma / Biotech / Medtech</t>
        </is>
      </c>
      <c r="AA23" s="7" t="inlineStr"/>
      <c r="AB23" s="7" t="inlineStr"/>
      <c r="AC23" s="7" t="inlineStr">
        <is>
          <t>7</t>
        </is>
      </c>
      <c r="AD23" s="7" t="inlineStr">
        <is>
          <t>2</t>
        </is>
      </c>
      <c r="AE23" s="7" t="inlineStr">
        <is>
          <t>0</t>
        </is>
      </c>
      <c r="AF23" s="7" t="inlineStr">
        <is>
          <t>Générique / Multi-éditeurs / Sans dominante</t>
        </is>
      </c>
      <c r="AG23" s="8" t="inlineStr">
        <is>
          <t>estimé</t>
        </is>
      </c>
      <c r="AH23" s="12" t="inlineStr">
        <is>
          <t>Aucune dimension logicielle dans le positionnement de l'organisateur : rattache au 0 (sans dominante) plutot que laisse vide, conformement a la demande de non-vide</t>
        </is>
      </c>
      <c r="AI23" s="7" t="inlineStr">
        <is>
          <t>3</t>
        </is>
      </c>
      <c r="AJ23" s="7" t="inlineStr">
        <is>
          <t>41-120</t>
        </is>
      </c>
      <c r="AK23" s="8" t="inlineStr">
        <is>
          <t>estimé</t>
        </is>
      </c>
      <c r="AL23" s="7" t="inlineStr">
        <is>
          <t>estimation : 50 a 250 participants</t>
        </is>
      </c>
      <c r="AM23" s="11" t="inlineStr">
        <is>
          <t>Modele de format (rendez-vous de pole de competitivite ou de cluster), fourchette 50-250, plafonnee par la capacite du lieu (Genethon ~ 400)</t>
        </is>
      </c>
      <c r="AN23" s="7" t="inlineStr">
        <is>
          <t>moyenne</t>
        </is>
      </c>
      <c r="AO23" s="7" t="inlineStr">
        <is>
          <t>7</t>
        </is>
      </c>
      <c r="AP23" s="7" t="inlineStr">
        <is>
          <t>Experts / Advisors / Associations professionnelles</t>
        </is>
      </c>
      <c r="AQ23" s="7" t="inlineStr">
        <is>
          <t>constaté</t>
        </is>
      </c>
      <c r="AR23" s="12" t="inlineStr"/>
      <c r="AS23" s="7" t="inlineStr">
        <is>
          <t>2</t>
        </is>
      </c>
      <c r="AT23" s="7" t="inlineStr">
        <is>
          <t>Moyen</t>
        </is>
      </c>
      <c r="AU23" s="7" t="inlineStr">
        <is>
          <t>constaté</t>
        </is>
      </c>
      <c r="AV23" s="12" t="inlineStr"/>
      <c r="AW23" s="7" t="inlineStr">
        <is>
          <t>S:7 L:0 N:3 P:7 A:2</t>
        </is>
      </c>
    </row>
    <row r="24">
      <c r="A24" s="10" t="inlineStr">
        <is>
          <t>dotAI</t>
        </is>
      </c>
      <c r="B24" s="10" t="inlineStr">
        <is>
          <t>dot Conferences</t>
        </is>
      </c>
      <c r="C24" s="10" t="inlineStr">
        <is>
          <t>2026-09-17</t>
        </is>
      </c>
      <c r="D24" s="10" t="inlineStr">
        <is>
          <t>2026-09-18</t>
        </is>
      </c>
      <c r="E24" s="10" t="inlineStr"/>
      <c r="F24" s="10" t="inlineStr">
        <is>
          <t>non identifié publiquement</t>
        </is>
      </c>
      <c r="G24" s="10" t="inlineStr">
        <is>
          <t>Folies Bergère</t>
        </is>
      </c>
      <c r="H24" s="10" t="inlineStr">
        <is>
          <t>Paris (arrondissement selon le lieu)</t>
        </is>
      </c>
      <c r="I24" s="10" t="inlineStr">
        <is>
          <t>75</t>
        </is>
      </c>
      <c r="J24" s="10" t="inlineStr">
        <is>
          <t>présentiel</t>
        </is>
      </c>
      <c r="K24" s="11" t="inlineStr">
        <is>
          <t>dotAI 2026, 17 septembre à Paris : décideurs IT et architectes explorent l'intégration de l'IA dans les architectures et les stratégies métier.</t>
        </is>
      </c>
      <c r="L24" s="11" t="inlineStr">
        <is>
          <t>non identifié publiquement</t>
        </is>
      </c>
      <c r="M24" s="10" t="inlineStr">
        <is>
          <t>Numerique, informatique, technologies</t>
        </is>
      </c>
      <c r="N24" s="10" t="inlineStr">
        <is>
          <t>dotAI - dotAI 2026, 17 septembre à Paris : décideurs IT et architectes explorent l'intégration de l'IA dans les archit</t>
        </is>
      </c>
      <c r="O24" s="10" t="inlineStr">
        <is>
          <t>non identifié publiquement</t>
        </is>
      </c>
      <c r="P24" s="10" t="inlineStr">
        <is>
          <t>ESTIME</t>
        </is>
      </c>
      <c r="Q24" s="11" t="inlineStr">
        <is>
          <t>Effectif attendu publie par l'agregateur specialise Agenda Tech pour cette edition</t>
        </is>
      </c>
      <c r="R24" s="10" t="inlineStr">
        <is>
          <t>non identifié publiquement</t>
        </is>
      </c>
      <c r="S24" s="10" t="inlineStr">
        <is>
          <t>non</t>
        </is>
      </c>
      <c r="T24" s="11" t="inlineStr"/>
      <c r="U24" s="10" t="inlineStr">
        <is>
          <t>non identifié publiquement</t>
        </is>
      </c>
      <c r="V24" s="10" t="inlineStr">
        <is>
          <t>https://www.agenda-tech.com/events/dotai-2026</t>
        </is>
      </c>
      <c r="W24" s="10" t="inlineStr">
        <is>
          <t>2026-09-15</t>
        </is>
      </c>
      <c r="X24" s="11" t="inlineStr">
        <is>
          <t>Identifie via l'agregateur specialise Agenda Tech (donnees structurees schema.org publiees par l'organisateur).</t>
        </is>
      </c>
      <c r="Y24" s="7" t="inlineStr">
        <is>
          <t>16|4</t>
        </is>
      </c>
      <c r="Z24" s="7" t="inlineStr">
        <is>
          <t>IA / Intelligence artificielle + Tech / IT / Logiciels / Télécom</t>
        </is>
      </c>
      <c r="AA24" s="7" t="inlineStr">
        <is>
          <t>11</t>
        </is>
      </c>
      <c r="AB24" s="7" t="inlineStr"/>
      <c r="AC24" s="7" t="inlineStr">
        <is>
          <t>1|4</t>
        </is>
      </c>
      <c r="AD24" s="7" t="inlineStr"/>
      <c r="AE24" s="7" t="inlineStr">
        <is>
          <t>11</t>
        </is>
      </c>
      <c r="AF24" s="7" t="inlineStr">
        <is>
          <t>IA / Automatisation / No-code / Low-code</t>
        </is>
      </c>
      <c r="AG24" s="7" t="inlineStr">
        <is>
          <t>déduit</t>
        </is>
      </c>
      <c r="AH24" s="12" t="inlineStr">
        <is>
          <t>Deduit du secteur (axe 1)</t>
        </is>
      </c>
      <c r="AI24" s="7" t="inlineStr">
        <is>
          <t>5</t>
        </is>
      </c>
      <c r="AJ24" s="7" t="inlineStr">
        <is>
          <t>401-2000</t>
        </is>
      </c>
      <c r="AK24" s="8" t="inlineStr">
        <is>
          <t>estimé</t>
        </is>
      </c>
      <c r="AL24" s="7" t="inlineStr">
        <is>
          <t>environ 1500 participants</t>
        </is>
      </c>
      <c r="AM24" s="11" t="inlineStr">
        <is>
          <t>Effectif attendu publie par Agenda Tech (agregateur specialise, chiffre de l'organisateur ou de l'agregateur)</t>
        </is>
      </c>
      <c r="AN24" s="7" t="inlineStr">
        <is>
          <t>moyenne</t>
        </is>
      </c>
      <c r="AO24" s="7" t="inlineStr">
        <is>
          <t>1|4</t>
        </is>
      </c>
      <c r="AP24" s="7" t="inlineStr">
        <is>
          <t>Décideurs PME/ETI + Partenaires / Prescripteurs / Consultants / Intégrateurs</t>
        </is>
      </c>
      <c r="AQ24" s="7" t="inlineStr">
        <is>
          <t>constaté</t>
        </is>
      </c>
      <c r="AR24" s="12" t="inlineStr"/>
      <c r="AS24" s="7" t="inlineStr">
        <is>
          <t>2</t>
        </is>
      </c>
      <c r="AT24" s="7" t="inlineStr">
        <is>
          <t>Moyen</t>
        </is>
      </c>
      <c r="AU24" s="8" t="inlineStr">
        <is>
          <t>estimé</t>
        </is>
      </c>
      <c r="AV24" s="12" t="inlineStr">
        <is>
          <t>Tarif payant publie par Agenda Tech</t>
        </is>
      </c>
      <c r="AW24" s="7" t="inlineStr">
        <is>
          <t>S:16|4 L:11 N:5 P:1|4 A:2</t>
        </is>
      </c>
    </row>
    <row r="25">
      <c r="A25" s="10" t="inlineStr">
        <is>
          <t>Programme d'accélération Business</t>
        </is>
      </c>
      <c r="B25" s="10" t="inlineStr">
        <is>
          <t>CCI Paris</t>
        </is>
      </c>
      <c r="C25" s="10" t="inlineStr">
        <is>
          <t>2026-09-18</t>
        </is>
      </c>
      <c r="D25" s="10" t="inlineStr">
        <is>
          <t>2026-12-17</t>
        </is>
      </c>
      <c r="E25" s="10" t="inlineStr"/>
      <c r="F25" s="10" t="inlineStr">
        <is>
          <t>non identifié publiquement</t>
        </is>
      </c>
      <c r="G25" s="10" t="inlineStr">
        <is>
          <t>non identifié publiquement</t>
        </is>
      </c>
      <c r="H25" s="10" t="inlineStr">
        <is>
          <t>non identifié publiquement</t>
        </is>
      </c>
      <c r="I25" s="10" t="inlineStr">
        <is>
          <t>non identifié publiquement</t>
        </is>
      </c>
      <c r="J25" s="10" t="inlineStr">
        <is>
          <t>présentiel</t>
        </is>
      </c>
      <c r="K25" s="11" t="inlineStr">
        <is>
          <t>Programme intensif d'acceleration commerciale en 5 etapes : productivite par l'IA et l'automatisation, structuration de la demarche commerciale, qualification des prospects.</t>
        </is>
      </c>
      <c r="L25" s="11" t="inlineStr">
        <is>
          <t>dirigeants de TPE/PME et consultants</t>
        </is>
      </c>
      <c r="M25" s="10" t="inlineStr">
        <is>
          <t>Tous secteurs</t>
        </is>
      </c>
      <c r="N25" s="10" t="inlineStr">
        <is>
          <t>IA et automatisation appliquees a la demarche commerciale</t>
        </is>
      </c>
      <c r="O25" s="10" t="inlineStr">
        <is>
          <t>non identifié publiquement</t>
        </is>
      </c>
      <c r="P25" s="10" t="inlineStr"/>
      <c r="Q25" s="11" t="inlineStr"/>
      <c r="R25" s="10" t="inlineStr">
        <is>
          <t>candidature</t>
        </is>
      </c>
      <c r="S25" s="10" t="inlineStr">
        <is>
          <t>non</t>
        </is>
      </c>
      <c r="T25" s="11" t="inlineStr"/>
      <c r="U25" s="10" t="inlineStr">
        <is>
          <t>non identifié publiquement</t>
        </is>
      </c>
      <c r="V25" s="10" t="inlineStr">
        <is>
          <t>https://www.entreprises.cci-paris-idf.fr/evenements/programme-dacceleration-business</t>
        </is>
      </c>
      <c r="W25" s="10" t="inlineStr">
        <is>
          <t>2026-09-15</t>
        </is>
      </c>
      <c r="X25" s="11" t="inlineStr">
        <is>
          <t>Aucun lieu n'est publie sur la fiche de l'organisateur au 15/09/2026 : departement laisse en 'non identifie publiquement' plutot qu'infere. Programme de la CCI Paris, donc vraisemblablement francilien, mais non verifiable en l'etat.</t>
        </is>
      </c>
      <c r="Y25" s="7" t="inlineStr">
        <is>
          <t>0</t>
        </is>
      </c>
      <c r="Z25" s="7" t="inlineStr">
        <is>
          <t>Générique / Transversal</t>
        </is>
      </c>
      <c r="AA25" s="7" t="inlineStr">
        <is>
          <t>11</t>
        </is>
      </c>
      <c r="AB25" s="7" t="inlineStr"/>
      <c r="AC25" s="7" t="inlineStr">
        <is>
          <t>1|4</t>
        </is>
      </c>
      <c r="AD25" s="7" t="inlineStr">
        <is>
          <t>2</t>
        </is>
      </c>
      <c r="AE25" s="7" t="inlineStr">
        <is>
          <t>11</t>
        </is>
      </c>
      <c r="AF25" s="7" t="inlineStr">
        <is>
          <t>IA / Automatisation / No-code / Low-code</t>
        </is>
      </c>
      <c r="AG25" s="7" t="inlineStr">
        <is>
          <t>constaté</t>
        </is>
      </c>
      <c r="AH25" s="12" t="inlineStr"/>
      <c r="AI25" s="7" t="inlineStr">
        <is>
          <t>1</t>
        </is>
      </c>
      <c r="AJ25" s="7" t="inlineStr">
        <is>
          <t>1-15</t>
        </is>
      </c>
      <c r="AK25" s="8" t="inlineStr">
        <is>
          <t>estimé</t>
        </is>
      </c>
      <c r="AL25" s="7" t="inlineStr">
        <is>
          <t>estimation : 10 a 25 participants</t>
        </is>
      </c>
      <c r="AM25" s="11" t="inlineStr">
        <is>
          <t>Modele de format (parcours d'accompagnement sur candidature), fourchette 10-25</t>
        </is>
      </c>
      <c r="AN25" s="7" t="inlineStr">
        <is>
          <t>moyenne</t>
        </is>
      </c>
      <c r="AO25" s="7" t="inlineStr">
        <is>
          <t>1|4</t>
        </is>
      </c>
      <c r="AP25" s="7" t="inlineStr">
        <is>
          <t>Décideurs PME/ETI + Partenaires / Prescripteurs / Consultants / Intégrateurs</t>
        </is>
      </c>
      <c r="AQ25" s="7" t="inlineStr">
        <is>
          <t>constaté</t>
        </is>
      </c>
      <c r="AR25" s="12" t="inlineStr"/>
      <c r="AS25" s="7" t="inlineStr">
        <is>
          <t>2</t>
        </is>
      </c>
      <c r="AT25" s="7" t="inlineStr">
        <is>
          <t>Moyen</t>
        </is>
      </c>
      <c r="AU25" s="7" t="inlineStr">
        <is>
          <t>constaté</t>
        </is>
      </c>
      <c r="AV25" s="12" t="inlineStr"/>
      <c r="AW25" s="7" t="inlineStr">
        <is>
          <t>S:0 L:11 N:1 P:1|4 A:2</t>
        </is>
      </c>
    </row>
    <row r="26">
      <c r="A26" s="10" t="inlineStr">
        <is>
          <t>dotJS</t>
        </is>
      </c>
      <c r="B26" s="10" t="inlineStr">
        <is>
          <t>dot Conferences</t>
        </is>
      </c>
      <c r="C26" s="10" t="inlineStr">
        <is>
          <t>2026-09-18</t>
        </is>
      </c>
      <c r="D26" s="10" t="inlineStr"/>
      <c r="E26" s="10" t="inlineStr"/>
      <c r="F26" s="10" t="inlineStr">
        <is>
          <t>non identifié publiquement</t>
        </is>
      </c>
      <c r="G26" s="10" t="inlineStr">
        <is>
          <t>Folies Bergère</t>
        </is>
      </c>
      <c r="H26" s="10" t="inlineStr">
        <is>
          <t>Paris (arrondissement selon le lieu)</t>
        </is>
      </c>
      <c r="I26" s="10" t="inlineStr">
        <is>
          <t>75</t>
        </is>
      </c>
      <c r="J26" s="10" t="inlineStr">
        <is>
          <t>présentiel</t>
        </is>
      </c>
      <c r="K26" s="11" t="inlineStr">
        <is>
          <t>dotJS 2026 à Paris le 18 septembre. Conférence JavaScript réunissant développeurs et leaders tech aux Folies Bergère.</t>
        </is>
      </c>
      <c r="L26" s="11" t="inlineStr">
        <is>
          <t>non identifié publiquement</t>
        </is>
      </c>
      <c r="M26" s="10" t="inlineStr">
        <is>
          <t>Numerique, informatique, technologies</t>
        </is>
      </c>
      <c r="N26" s="10" t="inlineStr">
        <is>
          <t>non identifié publiquement</t>
        </is>
      </c>
      <c r="O26" s="10" t="inlineStr">
        <is>
          <t>non identifié publiquement</t>
        </is>
      </c>
      <c r="P26" s="10" t="inlineStr">
        <is>
          <t>ESTIME</t>
        </is>
      </c>
      <c r="Q26" s="11" t="inlineStr">
        <is>
          <t>Effectif attendu publie par l'agregateur specialise Agenda Tech pour cette edition</t>
        </is>
      </c>
      <c r="R26" s="10" t="inlineStr">
        <is>
          <t>non identifié publiquement</t>
        </is>
      </c>
      <c r="S26" s="10" t="inlineStr">
        <is>
          <t>non</t>
        </is>
      </c>
      <c r="T26" s="11" t="inlineStr"/>
      <c r="U26" s="10" t="inlineStr">
        <is>
          <t>non identifié publiquement</t>
        </is>
      </c>
      <c r="V26" s="10" t="inlineStr">
        <is>
          <t>https://www.agenda-tech.com/events/dotjs-2026</t>
        </is>
      </c>
      <c r="W26" s="10" t="inlineStr">
        <is>
          <t>2026-09-15</t>
        </is>
      </c>
      <c r="X26" s="11" t="inlineStr">
        <is>
          <t>Identifie via l'agregateur specialise Agenda Tech (donnees structurees schema.org publiees par l'organisateur).</t>
        </is>
      </c>
      <c r="Y26" s="7" t="inlineStr">
        <is>
          <t>4</t>
        </is>
      </c>
      <c r="Z26" s="7" t="inlineStr">
        <is>
          <t>Tech / IT / Logiciels / Télécom</t>
        </is>
      </c>
      <c r="AA26" s="7" t="inlineStr">
        <is>
          <t>0</t>
        </is>
      </c>
      <c r="AB26" s="7" t="inlineStr"/>
      <c r="AC26" s="7" t="inlineStr"/>
      <c r="AD26" s="7" t="inlineStr"/>
      <c r="AE26" s="7" t="inlineStr">
        <is>
          <t>0</t>
        </is>
      </c>
      <c r="AF26" s="7" t="inlineStr">
        <is>
          <t>Générique / Multi-éditeurs / Sans dominante</t>
        </is>
      </c>
      <c r="AG26" s="7" t="inlineStr">
        <is>
          <t>déduit</t>
        </is>
      </c>
      <c r="AH26" s="12" t="inlineStr">
        <is>
          <t>Deduit du secteur (axe 1)</t>
        </is>
      </c>
      <c r="AI26" s="7" t="inlineStr">
        <is>
          <t>5</t>
        </is>
      </c>
      <c r="AJ26" s="7" t="inlineStr">
        <is>
          <t>401-2000</t>
        </is>
      </c>
      <c r="AK26" s="8" t="inlineStr">
        <is>
          <t>estimé</t>
        </is>
      </c>
      <c r="AL26" s="7" t="inlineStr">
        <is>
          <t>environ 1500 participants</t>
        </is>
      </c>
      <c r="AM26" s="11" t="inlineStr">
        <is>
          <t>Effectif attendu publie par Agenda Tech (agregateur specialise, chiffre de l'organisateur ou de l'agregateur)</t>
        </is>
      </c>
      <c r="AN26" s="7" t="inlineStr">
        <is>
          <t>moyenne</t>
        </is>
      </c>
      <c r="AO26" s="7" t="inlineStr">
        <is>
          <t>1</t>
        </is>
      </c>
      <c r="AP26" s="7" t="inlineStr">
        <is>
          <t>Décideurs PME/ETI</t>
        </is>
      </c>
      <c r="AQ26" s="8" t="inlineStr">
        <is>
          <t>estimé</t>
        </is>
      </c>
      <c r="AR26" s="12" t="inlineStr">
        <is>
          <t>Par defaut, evenement B2B francilien : decideurs PME/ETI</t>
        </is>
      </c>
      <c r="AS26" s="7" t="inlineStr">
        <is>
          <t>2</t>
        </is>
      </c>
      <c r="AT26" s="7" t="inlineStr">
        <is>
          <t>Moyen</t>
        </is>
      </c>
      <c r="AU26" s="8" t="inlineStr">
        <is>
          <t>estimé</t>
        </is>
      </c>
      <c r="AV26" s="12" t="inlineStr">
        <is>
          <t>Billetterie en vente libre (mention 'Voir tarifs sur le site' chez Agenda Tech), sans gratuite confirmee</t>
        </is>
      </c>
      <c r="AW26" s="7" t="inlineStr">
        <is>
          <t>S:4 L:0 N:5 P:1 A:2</t>
        </is>
      </c>
    </row>
    <row r="27">
      <c r="A27" s="10" t="inlineStr">
        <is>
          <t>CTEC EMEA</t>
        </is>
      </c>
      <c r="B27" s="10" t="inlineStr">
        <is>
          <t>LabVantage Solutions, Inc</t>
        </is>
      </c>
      <c r="C27" s="10" t="inlineStr">
        <is>
          <t>2026-09-20</t>
        </is>
      </c>
      <c r="D27" s="10" t="inlineStr">
        <is>
          <t>2026-09-24</t>
        </is>
      </c>
      <c r="E27" s="10" t="inlineStr"/>
      <c r="F27" s="10" t="inlineStr">
        <is>
          <t>non identifié publiquement</t>
        </is>
      </c>
      <c r="G27" s="10" t="inlineStr">
        <is>
          <t>Paris Marriott Rive Gauche Hotel &amp; Conference Center</t>
        </is>
      </c>
      <c r="H27" s="10" t="inlineStr">
        <is>
          <t>Paris (arrondissement selon le lieu)</t>
        </is>
      </c>
      <c r="I27" s="10" t="inlineStr">
        <is>
          <t>75</t>
        </is>
      </c>
      <c r="J27" s="10" t="inlineStr">
        <is>
          <t>présentiel</t>
        </is>
      </c>
      <c r="K27" s="11" t="inlineStr">
        <is>
          <t>CTEC EMEA Paris, 20 septembre 2026. Conférence B2B pour professionnels IT : formation, transformation numérique et networking avec LabVantage Solutions.</t>
        </is>
      </c>
      <c r="L27" s="11" t="inlineStr">
        <is>
          <t>non identifié publiquement</t>
        </is>
      </c>
      <c r="M27" s="10" t="inlineStr">
        <is>
          <t>Numerique, informatique, technologies</t>
        </is>
      </c>
      <c r="N27" s="10" t="inlineStr">
        <is>
          <t>non identifié publiquement</t>
        </is>
      </c>
      <c r="O27" s="10" t="inlineStr">
        <is>
          <t>non identifié publiquement</t>
        </is>
      </c>
      <c r="P27" s="10" t="inlineStr"/>
      <c r="Q27" s="11" t="inlineStr"/>
      <c r="R27" s="10" t="inlineStr">
        <is>
          <t>non identifié publiquement</t>
        </is>
      </c>
      <c r="S27" s="10" t="inlineStr">
        <is>
          <t>non</t>
        </is>
      </c>
      <c r="T27" s="11" t="inlineStr"/>
      <c r="U27" s="10" t="inlineStr">
        <is>
          <t>non identifié publiquement</t>
        </is>
      </c>
      <c r="V27" s="10" t="inlineStr">
        <is>
          <t>https://www.agenda-tech.com/events/ctec-emea-2026</t>
        </is>
      </c>
      <c r="W27" s="10" t="inlineStr">
        <is>
          <t>2026-09-15</t>
        </is>
      </c>
      <c r="X27" s="11" t="inlineStr">
        <is>
          <t>Identifie via l'agregateur specialise Agenda Tech (donnees structurees schema.org publiees par l'organisateur).</t>
        </is>
      </c>
      <c r="Y27" s="7" t="inlineStr">
        <is>
          <t>4</t>
        </is>
      </c>
      <c r="Z27" s="7" t="inlineStr">
        <is>
          <t>Tech / IT / Logiciels / Télécom</t>
        </is>
      </c>
      <c r="AA27" s="7" t="inlineStr">
        <is>
          <t>0</t>
        </is>
      </c>
      <c r="AB27" s="7" t="inlineStr"/>
      <c r="AC27" s="7" t="inlineStr"/>
      <c r="AD27" s="7" t="inlineStr"/>
      <c r="AE27" s="7" t="inlineStr">
        <is>
          <t>0</t>
        </is>
      </c>
      <c r="AF27" s="7" t="inlineStr">
        <is>
          <t>Générique / Multi-éditeurs / Sans dominante</t>
        </is>
      </c>
      <c r="AG27" s="7" t="inlineStr">
        <is>
          <t>déduit</t>
        </is>
      </c>
      <c r="AH27" s="12" t="inlineStr">
        <is>
          <t>Deduit du secteur (axe 1)</t>
        </is>
      </c>
      <c r="AI27" s="7" t="inlineStr">
        <is>
          <t>4</t>
        </is>
      </c>
      <c r="AJ27" s="7" t="inlineStr">
        <is>
          <t>121-400</t>
        </is>
      </c>
      <c r="AK27" s="8" t="inlineStr">
        <is>
          <t>estimé</t>
        </is>
      </c>
      <c r="AL27" s="7" t="inlineStr">
        <is>
          <t>estimation : 200 a 600 participants</t>
        </is>
      </c>
      <c r="AM27" s="11" t="inlineStr">
        <is>
          <t>Modele de format (conference technique ou sectorielle), fourchette 200-600, plafonnee par la capacite du lieu (Paris Marriott Rive Gauche Hotel &amp; Confe ~ 600)</t>
        </is>
      </c>
      <c r="AN27" s="7" t="inlineStr">
        <is>
          <t>moyenne</t>
        </is>
      </c>
      <c r="AO27" s="7" t="inlineStr">
        <is>
          <t>1</t>
        </is>
      </c>
      <c r="AP27" s="7" t="inlineStr">
        <is>
          <t>Décideurs PME/ETI</t>
        </is>
      </c>
      <c r="AQ27" s="8" t="inlineStr">
        <is>
          <t>estimé</t>
        </is>
      </c>
      <c r="AR27" s="12" t="inlineStr">
        <is>
          <t>Par defaut, evenement B2B francilien : decideurs PME/ETI</t>
        </is>
      </c>
      <c r="AS27" s="7" t="inlineStr">
        <is>
          <t>2</t>
        </is>
      </c>
      <c r="AT27" s="7" t="inlineStr">
        <is>
          <t>Moyen</t>
        </is>
      </c>
      <c r="AU27" s="8" t="inlineStr">
        <is>
          <t>estimé</t>
        </is>
      </c>
      <c r="AV27" s="12" t="inlineStr">
        <is>
          <t>Billetterie en vente libre (mention 'Voir tarifs sur le site' chez Agenda Tech), sans gratuite confirmee</t>
        </is>
      </c>
      <c r="AW27" s="7" t="inlineStr">
        <is>
          <t>S:4 L:0 N:4 P:1 A:2</t>
        </is>
      </c>
    </row>
    <row r="28">
      <c r="A28" s="10" t="inlineStr">
        <is>
          <t>Crecendo Expo - Arici Centro</t>
        </is>
      </c>
      <c r="B28" s="10" t="inlineStr">
        <is>
          <t>non identifié publiquement</t>
        </is>
      </c>
      <c r="C28" s="10" t="inlineStr">
        <is>
          <t>2026-09-20</t>
        </is>
      </c>
      <c r="D28" s="10" t="inlineStr">
        <is>
          <t>2026-09-21</t>
        </is>
      </c>
      <c r="E28" s="10" t="inlineStr"/>
      <c r="F28" s="10" t="inlineStr">
        <is>
          <t>non identifié publiquement</t>
        </is>
      </c>
      <c r="G28" s="10" t="inlineStr">
        <is>
          <t>Parc Floral de Paris</t>
        </is>
      </c>
      <c r="H28" s="10" t="inlineStr">
        <is>
          <t>Paris 12e</t>
        </is>
      </c>
      <c r="I28" s="10" t="inlineStr">
        <is>
          <t>75</t>
        </is>
      </c>
      <c r="J28" s="10" t="inlineStr">
        <is>
          <t>présentiel</t>
        </is>
      </c>
      <c r="K28" s="11" t="inlineStr">
        <is>
          <t>Salon International de la Chaussure et des accessoires</t>
        </is>
      </c>
      <c r="L28" s="11" t="inlineStr">
        <is>
          <t>Visitorat : réservé aux professionnels (fiche CCI Paris Ile-de-France)</t>
        </is>
      </c>
      <c r="M28" s="10" t="inlineStr">
        <is>
          <t>Textile, habillement, chaussures, maroquinerie, bijouterie et accessoires de mode</t>
        </is>
      </c>
      <c r="N28" s="10" t="inlineStr">
        <is>
          <t>non identifié publiquement</t>
        </is>
      </c>
      <c r="O28" s="10" t="inlineStr">
        <is>
          <t>non identifié publiquement</t>
        </is>
      </c>
      <c r="P28" s="10" t="inlineStr"/>
      <c r="Q28" s="11" t="inlineStr"/>
      <c r="R28" s="10" t="inlineStr">
        <is>
          <t>inscription libre</t>
        </is>
      </c>
      <c r="S28" s="10" t="inlineStr">
        <is>
          <t>oui</t>
        </is>
      </c>
      <c r="T28" s="11" t="inlineStr">
        <is>
          <t>Salon professionnel reserve aux acheteurs de la filiere chaussure et accessoires</t>
        </is>
      </c>
      <c r="U28" s="10" t="inlineStr">
        <is>
          <t>non identifié publiquement</t>
        </is>
      </c>
      <c r="V28" s="10" t="inlineStr">
        <is>
          <t>https://www.cci-paris-idf.fr/fr/evenements-salons/salons-foires-paris-ile-de-france/crecendo-expo-arici-centro</t>
        </is>
      </c>
      <c r="W28" s="10" t="inlineStr">
        <is>
          <t>2026-09-15</t>
        </is>
      </c>
      <c r="X28" s="11" t="inlineStr"/>
      <c r="Y28" s="7" t="inlineStr">
        <is>
          <t>1</t>
        </is>
      </c>
      <c r="Z28" s="7" t="inlineStr">
        <is>
          <t>Luxe / Mode / Beauté / Joaillerie</t>
        </is>
      </c>
      <c r="AA28" s="7" t="inlineStr"/>
      <c r="AB28" s="7" t="inlineStr"/>
      <c r="AC28" s="7" t="inlineStr"/>
      <c r="AD28" s="7" t="inlineStr">
        <is>
          <t>2</t>
        </is>
      </c>
      <c r="AE28" s="7" t="inlineStr">
        <is>
          <t>0</t>
        </is>
      </c>
      <c r="AF28" s="7" t="inlineStr">
        <is>
          <t>Générique / Multi-éditeurs / Sans dominante</t>
        </is>
      </c>
      <c r="AG28" s="8" t="inlineStr">
        <is>
          <t>estimé</t>
        </is>
      </c>
      <c r="AH28" s="12" t="inlineStr">
        <is>
          <t>Aucune dimension logicielle dans le positionnement de l'organisateur : rattache au 0 (sans dominante) plutot que laisse vide, conformement a la demande de non-vide</t>
        </is>
      </c>
      <c r="AI28" s="7" t="inlineStr">
        <is>
          <t>6</t>
        </is>
      </c>
      <c r="AJ28" s="7" t="inlineStr">
        <is>
          <t>&gt;2000</t>
        </is>
      </c>
      <c r="AK28" s="8" t="inlineStr">
        <is>
          <t>estimé</t>
        </is>
      </c>
      <c r="AL28" s="7" t="inlineStr">
        <is>
          <t>estimation : 3000 a 5000 participants</t>
        </is>
      </c>
      <c r="AM28" s="11" t="inlineStr">
        <is>
          <t>Modele de format (salon professionnel en parc d'exposition), fourchette 3000-5000, plafonnee par la capacite du lieu (Parc Floral de Paris ~ 5000)</t>
        </is>
      </c>
      <c r="AN28" s="7" t="inlineStr">
        <is>
          <t>moyenne</t>
        </is>
      </c>
      <c r="AO28" s="7" t="inlineStr">
        <is>
          <t>3|4</t>
        </is>
      </c>
      <c r="AP28" s="7" t="inlineStr">
        <is>
          <t>Opérationnels / Utilisateurs métier + Partenaires / Prescripteurs / Consultants / Intégrateurs</t>
        </is>
      </c>
      <c r="AQ28" s="8" t="inlineStr">
        <is>
          <t>estimé</t>
        </is>
      </c>
      <c r="AR28" s="12" t="inlineStr">
        <is>
          <t>Salon professionnel sectoriel : operationnels du secteur et prescripteurs</t>
        </is>
      </c>
      <c r="AS28" s="7" t="inlineStr">
        <is>
          <t>2</t>
        </is>
      </c>
      <c r="AT28" s="7" t="inlineStr">
        <is>
          <t>Moyen</t>
        </is>
      </c>
      <c r="AU28" s="7" t="inlineStr">
        <is>
          <t>constaté</t>
        </is>
      </c>
      <c r="AV28" s="12" t="inlineStr"/>
      <c r="AW28" s="7" t="inlineStr">
        <is>
          <t>S:1 L:0 N:6 P:3|4 A:2</t>
        </is>
      </c>
    </row>
    <row r="29">
      <c r="A29" s="10" t="inlineStr">
        <is>
          <t>Cities &amp; Gov Executive Forum</t>
        </is>
      </c>
      <c r="B29" s="10" t="inlineStr">
        <is>
          <t>HUB Institute</t>
        </is>
      </c>
      <c r="C29" s="10" t="inlineStr">
        <is>
          <t>2026-09-21</t>
        </is>
      </c>
      <c r="D29" s="10" t="inlineStr"/>
      <c r="E29" s="10" t="inlineStr"/>
      <c r="F29" s="10" t="inlineStr">
        <is>
          <t>non identifié publiquement</t>
        </is>
      </c>
      <c r="G29" s="10" t="inlineStr">
        <is>
          <t>non identifié publiquement</t>
        </is>
      </c>
      <c r="H29" s="10" t="inlineStr">
        <is>
          <t>Paris (arrondissement non communique)</t>
        </is>
      </c>
      <c r="I29" s="10" t="inlineStr">
        <is>
          <t>75</t>
        </is>
      </c>
      <c r="J29" s="10" t="inlineStr">
        <is>
          <t>présentiel</t>
        </is>
      </c>
      <c r="K29" s="11" t="inlineStr">
        <is>
          <t>Forum annuel des décideurs des territoires : élus, cadres, experts et partenaires privés. 22 septembre 2026, Hôtel de l'Industrie, Paris. 200 participants, 25 intervenants.</t>
        </is>
      </c>
      <c r="L29" s="11" t="inlineStr">
        <is>
          <t>non identifié publiquement</t>
        </is>
      </c>
      <c r="M29" s="10" t="inlineStr">
        <is>
          <t>Numerique, informatique, technologies</t>
        </is>
      </c>
      <c r="N29" s="10" t="inlineStr">
        <is>
          <t>non identifié publiquement</t>
        </is>
      </c>
      <c r="O29" s="10" t="inlineStr">
        <is>
          <t>non identifié publiquement</t>
        </is>
      </c>
      <c r="P29" s="10" t="inlineStr">
        <is>
          <t>ESTIME</t>
        </is>
      </c>
      <c r="Q29" s="11" t="inlineStr">
        <is>
          <t>Effectif attendu publie par l'agregateur specialise Agenda Tech pour cette edition</t>
        </is>
      </c>
      <c r="R29" s="10" t="inlineStr">
        <is>
          <t>non identifié publiquement</t>
        </is>
      </c>
      <c r="S29" s="10" t="inlineStr">
        <is>
          <t>non</t>
        </is>
      </c>
      <c r="T29" s="11" t="inlineStr"/>
      <c r="U29" s="10" t="inlineStr">
        <is>
          <t>non identifié publiquement</t>
        </is>
      </c>
      <c r="V29" s="10" t="inlineStr">
        <is>
          <t>https://www.agenda-tech.com/events/cities-gov-executive-forum-2026</t>
        </is>
      </c>
      <c r="W29" s="10" t="inlineStr">
        <is>
          <t>2026-09-15</t>
        </is>
      </c>
      <c r="X29" s="11" t="inlineStr">
        <is>
          <t>Identifie via l'agregateur specialise Agenda Tech (donnees structurees schema.org publiees par l'organisateur).</t>
        </is>
      </c>
      <c r="Y29" s="7" t="inlineStr">
        <is>
          <t>4</t>
        </is>
      </c>
      <c r="Z29" s="7" t="inlineStr">
        <is>
          <t>Tech / IT / Logiciels / Télécom</t>
        </is>
      </c>
      <c r="AA29" s="7" t="inlineStr">
        <is>
          <t>0</t>
        </is>
      </c>
      <c r="AB29" s="7" t="inlineStr"/>
      <c r="AC29" s="7" t="inlineStr">
        <is>
          <t>1|9</t>
        </is>
      </c>
      <c r="AD29" s="7" t="inlineStr"/>
      <c r="AE29" s="7" t="inlineStr">
        <is>
          <t>0</t>
        </is>
      </c>
      <c r="AF29" s="7" t="inlineStr">
        <is>
          <t>Générique / Multi-éditeurs / Sans dominante</t>
        </is>
      </c>
      <c r="AG29" s="7" t="inlineStr">
        <is>
          <t>déduit</t>
        </is>
      </c>
      <c r="AH29" s="12" t="inlineStr">
        <is>
          <t>Deduit du secteur (axe 1)</t>
        </is>
      </c>
      <c r="AI29" s="7" t="inlineStr">
        <is>
          <t>4</t>
        </is>
      </c>
      <c r="AJ29" s="7" t="inlineStr">
        <is>
          <t>121-400</t>
        </is>
      </c>
      <c r="AK29" s="8" t="inlineStr">
        <is>
          <t>estimé</t>
        </is>
      </c>
      <c r="AL29" s="7" t="inlineStr">
        <is>
          <t>environ 200 participants</t>
        </is>
      </c>
      <c r="AM29" s="11" t="inlineStr">
        <is>
          <t>Effectif attendu publie par Agenda Tech (agregateur specialise, chiffre de l'organisateur ou de l'agregateur)</t>
        </is>
      </c>
      <c r="AN29" s="7" t="inlineStr">
        <is>
          <t>moyenne</t>
        </is>
      </c>
      <c r="AO29" s="7" t="inlineStr">
        <is>
          <t>1|9</t>
        </is>
      </c>
      <c r="AP29" s="7" t="inlineStr">
        <is>
          <t>Décideurs PME/ETI + Institutionnels / Secteur public</t>
        </is>
      </c>
      <c r="AQ29" s="7" t="inlineStr">
        <is>
          <t>constaté</t>
        </is>
      </c>
      <c r="AR29" s="12" t="inlineStr"/>
      <c r="AS29" s="7" t="inlineStr">
        <is>
          <t>3</t>
        </is>
      </c>
      <c r="AT29" s="7" t="inlineStr">
        <is>
          <t>Difficile</t>
        </is>
      </c>
      <c r="AU29" s="8" t="inlineStr">
        <is>
          <t>estimé</t>
        </is>
      </c>
      <c r="AV29" s="12" t="inlineStr">
        <is>
          <t>Tarif 'Sur invitation' publie par Agenda Tech</t>
        </is>
      </c>
      <c r="AW29" s="7" t="inlineStr">
        <is>
          <t>S:4 L:0 N:4 P:1|9 A:3</t>
        </is>
      </c>
    </row>
    <row r="30">
      <c r="A30" s="10" t="inlineStr">
        <is>
          <t>Kernel Recipes</t>
        </is>
      </c>
      <c r="B30" s="10" t="inlineStr">
        <is>
          <t>Hupstream</t>
        </is>
      </c>
      <c r="C30" s="10" t="inlineStr">
        <is>
          <t>2026-09-21</t>
        </is>
      </c>
      <c r="D30" s="10" t="inlineStr">
        <is>
          <t>2026-09-23</t>
        </is>
      </c>
      <c r="E30" s="10" t="inlineStr"/>
      <c r="F30" s="10" t="inlineStr">
        <is>
          <t>non identifié publiquement</t>
        </is>
      </c>
      <c r="G30" s="10" t="inlineStr">
        <is>
          <t>Fondation Biermans-Lapôtre</t>
        </is>
      </c>
      <c r="H30" s="10" t="inlineStr">
        <is>
          <t>Paris (arrondissement selon le lieu)</t>
        </is>
      </c>
      <c r="I30" s="10" t="inlineStr">
        <is>
          <t>75</t>
        </is>
      </c>
      <c r="J30" s="10" t="inlineStr">
        <is>
          <t>présentiel</t>
        </is>
      </c>
      <c r="K30" s="11" t="inlineStr">
        <is>
          <t>Kernel Recipes 21-23 septembre 2026 à Paris. Conférence B2B réunissant développeurs et architectes autour de l'innovation logicielle et du noyau.</t>
        </is>
      </c>
      <c r="L30" s="11" t="inlineStr">
        <is>
          <t>non identifié publiquement</t>
        </is>
      </c>
      <c r="M30" s="10" t="inlineStr">
        <is>
          <t>Numerique, informatique, technologies</t>
        </is>
      </c>
      <c r="N30" s="10" t="inlineStr">
        <is>
          <t>non identifié publiquement</t>
        </is>
      </c>
      <c r="O30" s="10" t="inlineStr">
        <is>
          <t>non identifié publiquement</t>
        </is>
      </c>
      <c r="P30" s="10" t="inlineStr">
        <is>
          <t>ESTIME</t>
        </is>
      </c>
      <c r="Q30" s="11" t="inlineStr">
        <is>
          <t>Effectif attendu publie par l'agregateur specialise Agenda Tech pour cette edition</t>
        </is>
      </c>
      <c r="R30" s="10" t="inlineStr">
        <is>
          <t>non identifié publiquement</t>
        </is>
      </c>
      <c r="S30" s="10" t="inlineStr">
        <is>
          <t>non</t>
        </is>
      </c>
      <c r="T30" s="11" t="inlineStr"/>
      <c r="U30" s="10" t="inlineStr">
        <is>
          <t>non identifié publiquement</t>
        </is>
      </c>
      <c r="V30" s="10" t="inlineStr">
        <is>
          <t>https://www.agenda-tech.com/events/kernel-recipes-2026</t>
        </is>
      </c>
      <c r="W30" s="10" t="inlineStr">
        <is>
          <t>2026-09-15</t>
        </is>
      </c>
      <c r="X30" s="11" t="inlineStr">
        <is>
          <t>Identifie via l'agregateur specialise Agenda Tech (donnees structurees schema.org publiees par l'organisateur).</t>
        </is>
      </c>
      <c r="Y30" s="7" t="inlineStr">
        <is>
          <t>4</t>
        </is>
      </c>
      <c r="Z30" s="7" t="inlineStr">
        <is>
          <t>Tech / IT / Logiciels / Télécom</t>
        </is>
      </c>
      <c r="AA30" s="7" t="inlineStr">
        <is>
          <t>0</t>
        </is>
      </c>
      <c r="AB30" s="7" t="inlineStr"/>
      <c r="AC30" s="7" t="inlineStr">
        <is>
          <t>4</t>
        </is>
      </c>
      <c r="AD30" s="7" t="inlineStr"/>
      <c r="AE30" s="7" t="inlineStr">
        <is>
          <t>0</t>
        </is>
      </c>
      <c r="AF30" s="7" t="inlineStr">
        <is>
          <t>Générique / Multi-éditeurs / Sans dominante</t>
        </is>
      </c>
      <c r="AG30" s="7" t="inlineStr">
        <is>
          <t>déduit</t>
        </is>
      </c>
      <c r="AH30" s="12" t="inlineStr">
        <is>
          <t>Deduit du secteur (axe 1)</t>
        </is>
      </c>
      <c r="AI30" s="7" t="inlineStr">
        <is>
          <t>4</t>
        </is>
      </c>
      <c r="AJ30" s="7" t="inlineStr">
        <is>
          <t>121-400</t>
        </is>
      </c>
      <c r="AK30" s="8" t="inlineStr">
        <is>
          <t>estimé</t>
        </is>
      </c>
      <c r="AL30" s="7" t="inlineStr">
        <is>
          <t>environ 150 participants</t>
        </is>
      </c>
      <c r="AM30" s="11" t="inlineStr">
        <is>
          <t>Effectif attendu publie par Agenda Tech (agregateur specialise, chiffre de l'organisateur ou de l'agregateur)</t>
        </is>
      </c>
      <c r="AN30" s="7" t="inlineStr">
        <is>
          <t>moyenne</t>
        </is>
      </c>
      <c r="AO30" s="7" t="inlineStr">
        <is>
          <t>4</t>
        </is>
      </c>
      <c r="AP30" s="7" t="inlineStr">
        <is>
          <t>Partenaires / Prescripteurs / Consultants / Intégrateurs</t>
        </is>
      </c>
      <c r="AQ30" s="7" t="inlineStr">
        <is>
          <t>constaté</t>
        </is>
      </c>
      <c r="AR30" s="12" t="inlineStr"/>
      <c r="AS30" s="7" t="inlineStr">
        <is>
          <t>2</t>
        </is>
      </c>
      <c r="AT30" s="7" t="inlineStr">
        <is>
          <t>Moyen</t>
        </is>
      </c>
      <c r="AU30" s="8" t="inlineStr">
        <is>
          <t>estimé</t>
        </is>
      </c>
      <c r="AV30" s="12" t="inlineStr">
        <is>
          <t>Billetterie en vente libre (mention 'Voir tarifs sur le site' chez Agenda Tech), sans gratuite confirmee</t>
        </is>
      </c>
      <c r="AW30" s="7" t="inlineStr">
        <is>
          <t>S:4 L:0 N:4 P:4 A:2</t>
        </is>
      </c>
    </row>
    <row r="31">
      <c r="A31" s="10" t="inlineStr">
        <is>
          <t>AI Engineer Paris 2026</t>
        </is>
      </c>
      <c r="B31" s="10" t="inlineStr">
        <is>
          <t>Station F</t>
        </is>
      </c>
      <c r="C31" s="10" t="inlineStr">
        <is>
          <t>2026-09-22</t>
        </is>
      </c>
      <c r="D31" s="10" t="inlineStr">
        <is>
          <t>2026-09-23</t>
        </is>
      </c>
      <c r="E31" s="10" t="inlineStr"/>
      <c r="F31" s="10" t="inlineStr">
        <is>
          <t>non identifié publiquement</t>
        </is>
      </c>
      <c r="G31" s="10" t="inlineStr">
        <is>
          <t>non identifié publiquement</t>
        </is>
      </c>
      <c r="H31" s="10" t="inlineStr">
        <is>
          <t>Paris (arrondissement non communique)</t>
        </is>
      </c>
      <c r="I31" s="10" t="inlineStr">
        <is>
          <t>75</t>
        </is>
      </c>
      <c r="J31" s="10" t="inlineStr">
        <is>
          <t>présentiel</t>
        </is>
      </c>
      <c r="K31" s="11" t="inlineStr">
        <is>
          <t>Conférence technique IA à Paris, 23-24 septembre 2026. 1000+ ingénieurs, founders et VPs. Talks, 16 workshops pratiques et expo. Station F.</t>
        </is>
      </c>
      <c r="L31" s="11" t="inlineStr">
        <is>
          <t>non identifié publiquement</t>
        </is>
      </c>
      <c r="M31" s="10" t="inlineStr">
        <is>
          <t>Numerique, informatique, technologies</t>
        </is>
      </c>
      <c r="N31" s="10" t="inlineStr">
        <is>
          <t xml:space="preserve">AI Engineer Paris 2026 - Conférence technique IA à Paris, 23-24 septembre 2026. 1000+ ingénieurs, founders et VPs. Talks, 16 workshops </t>
        </is>
      </c>
      <c r="O31" s="10" t="inlineStr">
        <is>
          <t>non identifié publiquement</t>
        </is>
      </c>
      <c r="P31" s="10" t="inlineStr">
        <is>
          <t>CONFIRME</t>
        </is>
      </c>
      <c r="Q31" s="11" t="inlineStr">
        <is>
          <t>Chiffre annonce par l'organisateur (ai.engineer/paris/2026)</t>
        </is>
      </c>
      <c r="R31" s="10" t="inlineStr">
        <is>
          <t>non identifié publiquement</t>
        </is>
      </c>
      <c r="S31" s="10" t="inlineStr">
        <is>
          <t>non</t>
        </is>
      </c>
      <c r="T31" s="11" t="inlineStr"/>
      <c r="U31" s="10" t="inlineStr">
        <is>
          <t>non identifié publiquement</t>
        </is>
      </c>
      <c r="V31" s="10" t="inlineStr">
        <is>
          <t>https://www.agenda-tech.com/events/ai-engineer-paris-2026</t>
        </is>
      </c>
      <c r="W31" s="10" t="inlineStr">
        <is>
          <t>2026-09-15</t>
        </is>
      </c>
      <c r="X31" s="11" t="inlineStr">
        <is>
          <t>Identifie via l'agregateur specialise Agenda Tech (donnees structurees schema.org publiees par l'organisateur).</t>
        </is>
      </c>
      <c r="Y31" s="7" t="inlineStr">
        <is>
          <t>16|4</t>
        </is>
      </c>
      <c r="Z31" s="7" t="inlineStr">
        <is>
          <t>IA / Intelligence artificielle + Tech / IT / Logiciels / Télécom</t>
        </is>
      </c>
      <c r="AA31" s="7" t="inlineStr">
        <is>
          <t>11</t>
        </is>
      </c>
      <c r="AB31" s="7" t="inlineStr"/>
      <c r="AC31" s="7" t="inlineStr"/>
      <c r="AD31" s="7" t="inlineStr"/>
      <c r="AE31" s="7" t="inlineStr">
        <is>
          <t>11</t>
        </is>
      </c>
      <c r="AF31" s="7" t="inlineStr">
        <is>
          <t>IA / Automatisation / No-code / Low-code</t>
        </is>
      </c>
      <c r="AG31" s="7" t="inlineStr">
        <is>
          <t>déduit</t>
        </is>
      </c>
      <c r="AH31" s="12" t="inlineStr">
        <is>
          <t>Deduit du secteur (axe 1)</t>
        </is>
      </c>
      <c r="AI31" s="7" t="inlineStr">
        <is>
          <t>5</t>
        </is>
      </c>
      <c r="AJ31" s="7" t="inlineStr">
        <is>
          <t>401-2000</t>
        </is>
      </c>
      <c r="AK31" s="7" t="inlineStr">
        <is>
          <t>constaté</t>
        </is>
      </c>
      <c r="AL31" s="7" t="inlineStr">
        <is>
          <t>plus de 1 000 participants attendus</t>
        </is>
      </c>
      <c r="AM31" s="11" t="inlineStr">
        <is>
          <t>Chiffre annonce par l'organisateur (ai.engineer/paris/2026)</t>
        </is>
      </c>
      <c r="AN31" s="7" t="inlineStr">
        <is>
          <t>haute</t>
        </is>
      </c>
      <c r="AO31" s="7" t="inlineStr">
        <is>
          <t>3</t>
        </is>
      </c>
      <c r="AP31" s="7" t="inlineStr">
        <is>
          <t>Opérationnels / Utilisateurs métier</t>
        </is>
      </c>
      <c r="AQ31" s="8" t="inlineStr">
        <is>
          <t>estimé</t>
        </is>
      </c>
      <c r="AR31" s="12" t="inlineStr">
        <is>
          <t>Conference technique IA : profils operationnels et utilisateurs metier</t>
        </is>
      </c>
      <c r="AS31" s="7" t="inlineStr">
        <is>
          <t>2</t>
        </is>
      </c>
      <c r="AT31" s="7" t="inlineStr">
        <is>
          <t>Moyen</t>
        </is>
      </c>
      <c r="AU31" s="8" t="inlineStr">
        <is>
          <t>estimé</t>
        </is>
      </c>
      <c r="AV31" s="12" t="inlineStr">
        <is>
          <t>Billetterie en vente libre (mention 'Voir tarifs sur le site' chez Agenda Tech), sans gratuite confirmee</t>
        </is>
      </c>
      <c r="AW31" s="7" t="inlineStr">
        <is>
          <t>S:16|4 L:11 N:5 P:3 A:2</t>
        </is>
      </c>
    </row>
    <row r="32">
      <c r="A32" s="10" t="inlineStr">
        <is>
          <t>Agile En Seine 2026 — Agilité &amp; IA</t>
        </is>
      </c>
      <c r="B32" s="10" t="inlineStr">
        <is>
          <t>Agile En Seine</t>
        </is>
      </c>
      <c r="C32" s="10" t="inlineStr">
        <is>
          <t>2026-09-22</t>
        </is>
      </c>
      <c r="D32" s="10" t="inlineStr">
        <is>
          <t>2026-09-23</t>
        </is>
      </c>
      <c r="E32" s="10" t="inlineStr"/>
      <c r="F32" s="10" t="inlineStr">
        <is>
          <t>non identifié publiquement</t>
        </is>
      </c>
      <c r="G32" s="10" t="inlineStr">
        <is>
          <t>Palais des Congres d'Issy</t>
        </is>
      </c>
      <c r="H32" s="10" t="inlineStr">
        <is>
          <t>Issy-les-Moulineaux</t>
        </is>
      </c>
      <c r="I32" s="10" t="inlineStr">
        <is>
          <t>92</t>
        </is>
      </c>
      <c r="J32" s="10" t="inlineStr">
        <is>
          <t>présentiel</t>
        </is>
      </c>
      <c r="K32" s="11" t="inlineStr">
        <is>
          <t>Conférence Agile En Seine 22-23 septembre 2026 à Issy-les-Moulineaux. 750 participants, formations et pratiques agiles &amp; IA pour professionnels IT.</t>
        </is>
      </c>
      <c r="L32" s="11" t="inlineStr">
        <is>
          <t>non identifié publiquement</t>
        </is>
      </c>
      <c r="M32" s="10" t="inlineStr">
        <is>
          <t>Numerique, informatique, technologies</t>
        </is>
      </c>
      <c r="N32" s="10" t="inlineStr">
        <is>
          <t>Agile En Seine 2026 — Agilité &amp; IA - Conférence Agile En Seine 22-23 septembre 2026 à Issy-les-Moulineaux. 750 participants, formations et pratique</t>
        </is>
      </c>
      <c r="O32" s="10" t="inlineStr">
        <is>
          <t>non identifié publiquement</t>
        </is>
      </c>
      <c r="P32" s="10" t="inlineStr">
        <is>
          <t>ESTIME</t>
        </is>
      </c>
      <c r="Q32" s="11" t="inlineStr">
        <is>
          <t>Effectif attendu publie par l'agregateur specialise Agenda Tech pour cette edition</t>
        </is>
      </c>
      <c r="R32" s="10" t="inlineStr">
        <is>
          <t>non identifié publiquement</t>
        </is>
      </c>
      <c r="S32" s="10" t="inlineStr">
        <is>
          <t>non</t>
        </is>
      </c>
      <c r="T32" s="11" t="inlineStr"/>
      <c r="U32" s="10" t="inlineStr">
        <is>
          <t>non identifié publiquement</t>
        </is>
      </c>
      <c r="V32" s="10" t="inlineStr">
        <is>
          <t>https://www.agenda-tech.com/events/agile-en-seine-2026-agilite-ia-2026</t>
        </is>
      </c>
      <c r="W32" s="10" t="inlineStr">
        <is>
          <t>2026-09-15</t>
        </is>
      </c>
      <c r="X32" s="11" t="inlineStr">
        <is>
          <t>Identifie via l'agregateur specialise Agenda Tech (donnees structurees schema.org publiees par l'organisateur).</t>
        </is>
      </c>
      <c r="Y32" s="7" t="inlineStr">
        <is>
          <t>16|4</t>
        </is>
      </c>
      <c r="Z32" s="7" t="inlineStr">
        <is>
          <t>IA / Intelligence artificielle + Tech / IT / Logiciels / Télécom</t>
        </is>
      </c>
      <c r="AA32" s="7" t="inlineStr">
        <is>
          <t>12</t>
        </is>
      </c>
      <c r="AB32" s="7" t="inlineStr"/>
      <c r="AC32" s="7" t="inlineStr"/>
      <c r="AD32" s="7" t="inlineStr"/>
      <c r="AE32" s="7" t="inlineStr">
        <is>
          <t>12</t>
        </is>
      </c>
      <c r="AF32" s="7" t="inlineStr">
        <is>
          <t>Gestion de projet / Outils collaboratifs métier</t>
        </is>
      </c>
      <c r="AG32" s="7" t="inlineStr">
        <is>
          <t>constaté</t>
        </is>
      </c>
      <c r="AH32" s="12" t="inlineStr"/>
      <c r="AI32" s="7" t="inlineStr">
        <is>
          <t>5</t>
        </is>
      </c>
      <c r="AJ32" s="7" t="inlineStr">
        <is>
          <t>401-2000</t>
        </is>
      </c>
      <c r="AK32" s="8" t="inlineStr">
        <is>
          <t>estimé</t>
        </is>
      </c>
      <c r="AL32" s="7" t="inlineStr">
        <is>
          <t>environ 750 participants</t>
        </is>
      </c>
      <c r="AM32" s="11" t="inlineStr">
        <is>
          <t>Effectif attendu publie par Agenda Tech (agregateur specialise, chiffre de l'organisateur ou de l'agregateur)</t>
        </is>
      </c>
      <c r="AN32" s="7" t="inlineStr">
        <is>
          <t>moyenne</t>
        </is>
      </c>
      <c r="AO32" s="7" t="inlineStr">
        <is>
          <t>3</t>
        </is>
      </c>
      <c r="AP32" s="7" t="inlineStr">
        <is>
          <t>Opérationnels / Utilisateurs métier</t>
        </is>
      </c>
      <c r="AQ32" s="8" t="inlineStr">
        <is>
          <t>estimé</t>
        </is>
      </c>
      <c r="AR32" s="12" t="inlineStr">
        <is>
          <t>Conference technique IA : profils operationnels et utilisateurs metier</t>
        </is>
      </c>
      <c r="AS32" s="7" t="inlineStr">
        <is>
          <t>2</t>
        </is>
      </c>
      <c r="AT32" s="7" t="inlineStr">
        <is>
          <t>Moyen</t>
        </is>
      </c>
      <c r="AU32" s="8" t="inlineStr">
        <is>
          <t>estimé</t>
        </is>
      </c>
      <c r="AV32" s="12" t="inlineStr">
        <is>
          <t>Tarif payant publie par Agenda Tech</t>
        </is>
      </c>
      <c r="AW32" s="7" t="inlineStr">
        <is>
          <t>S:16|4 L:12 N:5 P:3 A:2</t>
        </is>
      </c>
    </row>
    <row r="33">
      <c r="A33" s="10" t="inlineStr">
        <is>
          <t>Boost Ta Croissance (Val-Parisis)</t>
        </is>
      </c>
      <c r="B33" s="10" t="inlineStr">
        <is>
          <t>CCI Paris Ile-de-France</t>
        </is>
      </c>
      <c r="C33" s="10" t="inlineStr">
        <is>
          <t>2026-09-22</t>
        </is>
      </c>
      <c r="D33" s="10" t="inlineStr">
        <is>
          <t>2027-09-22</t>
        </is>
      </c>
      <c r="E33" s="10" t="inlineStr"/>
      <c r="F33" s="10" t="inlineStr">
        <is>
          <t>non identifié publiquement</t>
        </is>
      </c>
      <c r="G33" s="10" t="inlineStr">
        <is>
          <t>Agglomeration Val-Parisis (100 % presentiel)</t>
        </is>
      </c>
      <c r="H33" s="10" t="inlineStr">
        <is>
          <t>non identifié publiquement</t>
        </is>
      </c>
      <c r="I33" s="10" t="inlineStr">
        <is>
          <t>95</t>
        </is>
      </c>
      <c r="J33" s="10" t="inlineStr">
        <is>
          <t>présentiel</t>
        </is>
      </c>
      <c r="K33" s="11" t="inlineStr">
        <is>
          <t>Parcours d'accompagnement a la croissance des entreprises du territoire Val-Parisis.</t>
        </is>
      </c>
      <c r="L33" s="11" t="inlineStr">
        <is>
          <t>non identifié publiquement</t>
        </is>
      </c>
      <c r="M33" s="10" t="inlineStr">
        <is>
          <t>Tous secteurs</t>
        </is>
      </c>
      <c r="N33" s="10" t="inlineStr">
        <is>
          <t>non identifié publiquement</t>
        </is>
      </c>
      <c r="O33" s="10" t="inlineStr">
        <is>
          <t>non identifié publiquement</t>
        </is>
      </c>
      <c r="P33" s="10" t="inlineStr"/>
      <c r="Q33" s="11" t="inlineStr"/>
      <c r="R33" s="10" t="inlineStr">
        <is>
          <t>candidature</t>
        </is>
      </c>
      <c r="S33" s="10" t="inlineStr">
        <is>
          <t>non</t>
        </is>
      </c>
      <c r="T33" s="11" t="inlineStr"/>
      <c r="U33" s="10" t="inlineStr">
        <is>
          <t>non identifié publiquement</t>
        </is>
      </c>
      <c r="V33" s="10" t="inlineStr">
        <is>
          <t>https://www.entreprises.cci-paris-idf.fr/evenements/boost-ta-croissance</t>
        </is>
      </c>
      <c r="W33" s="10" t="inlineStr">
        <is>
          <t>2026-09-15</t>
        </is>
      </c>
      <c r="X33" s="11" t="inlineStr">
        <is>
          <t>Departement 95 deduit du territoire de l'agglomeration Val-Parisis (Val-d'Oise), commune precise non communiquee. Dates annoncees du 22 septembre 2026 au 22 septembre 2027 : deborde largement la fenetre.</t>
        </is>
      </c>
      <c r="Y33" s="7" t="inlineStr">
        <is>
          <t>0</t>
        </is>
      </c>
      <c r="Z33" s="7" t="inlineStr">
        <is>
          <t>Générique / Transversal</t>
        </is>
      </c>
      <c r="AA33" s="7" t="inlineStr"/>
      <c r="AB33" s="7" t="inlineStr"/>
      <c r="AC33" s="7" t="inlineStr"/>
      <c r="AD33" s="7" t="inlineStr">
        <is>
          <t>2</t>
        </is>
      </c>
      <c r="AE33" s="7" t="inlineStr">
        <is>
          <t>0</t>
        </is>
      </c>
      <c r="AF33" s="7" t="inlineStr">
        <is>
          <t>Générique / Multi-éditeurs / Sans dominante</t>
        </is>
      </c>
      <c r="AG33" s="8" t="inlineStr">
        <is>
          <t>estimé</t>
        </is>
      </c>
      <c r="AH33" s="12" t="inlineStr">
        <is>
          <t>Aucune dimension logicielle dans le positionnement de l'organisateur : rattache au 0 (sans dominante) plutot que laisse vide, conformement a la demande de non-vide</t>
        </is>
      </c>
      <c r="AI33" s="7" t="inlineStr">
        <is>
          <t>1</t>
        </is>
      </c>
      <c r="AJ33" s="7" t="inlineStr">
        <is>
          <t>1-15</t>
        </is>
      </c>
      <c r="AK33" s="8" t="inlineStr">
        <is>
          <t>estimé</t>
        </is>
      </c>
      <c r="AL33" s="7" t="inlineStr">
        <is>
          <t>estimation : 10 a 25 participants</t>
        </is>
      </c>
      <c r="AM33" s="11" t="inlineStr">
        <is>
          <t>Modele de format (parcours d'accompagnement sur candidature), fourchette 10-25</t>
        </is>
      </c>
      <c r="AN33" s="7" t="inlineStr">
        <is>
          <t>moyenne</t>
        </is>
      </c>
      <c r="AO33" s="7" t="inlineStr">
        <is>
          <t>1</t>
        </is>
      </c>
      <c r="AP33" s="7" t="inlineStr">
        <is>
          <t>Décideurs PME/ETI</t>
        </is>
      </c>
      <c r="AQ33" s="8" t="inlineStr">
        <is>
          <t>estimé</t>
        </is>
      </c>
      <c r="AR33" s="12" t="inlineStr">
        <is>
          <t>Organisateur CCI : public cible structurel de dirigeants et collaborateurs de TPE-PME</t>
        </is>
      </c>
      <c r="AS33" s="7" t="inlineStr">
        <is>
          <t>2</t>
        </is>
      </c>
      <c r="AT33" s="7" t="inlineStr">
        <is>
          <t>Moyen</t>
        </is>
      </c>
      <c r="AU33" s="7" t="inlineStr">
        <is>
          <t>constaté</t>
        </is>
      </c>
      <c r="AV33" s="12" t="inlineStr"/>
      <c r="AW33" s="7" t="inlineStr">
        <is>
          <t>S:0 L:0 N:1 P:1 A:2</t>
        </is>
      </c>
    </row>
    <row r="34">
      <c r="A34" s="10" t="inlineStr">
        <is>
          <t>Cafe Croissance (CCI Hauts-de-Seine)</t>
        </is>
      </c>
      <c r="B34" s="10" t="inlineStr">
        <is>
          <t>CCI Paris Ile-de-France</t>
        </is>
      </c>
      <c r="C34" s="10" t="inlineStr">
        <is>
          <t>2026-09-22</t>
        </is>
      </c>
      <c r="D34" s="10" t="inlineStr"/>
      <c r="E34" s="10" t="inlineStr"/>
      <c r="F34" s="10" t="inlineStr">
        <is>
          <t>non identifié publiquement</t>
        </is>
      </c>
      <c r="G34" s="10" t="inlineStr">
        <is>
          <t>CCI Hauts-de-Seine - Coeur Defense, Tour A, 2e etage</t>
        </is>
      </c>
      <c r="H34" s="10" t="inlineStr">
        <is>
          <t>Courbevoie (quartier Paris La Defense)</t>
        </is>
      </c>
      <c r="I34" s="10" t="inlineStr">
        <is>
          <t>92</t>
        </is>
      </c>
      <c r="J34" s="10" t="inlineStr">
        <is>
          <t>présentiel</t>
        </is>
      </c>
      <c r="K34" s="11" t="inlineStr">
        <is>
          <t>Rencontre de dirigeants sur les leviers de croissance.</t>
        </is>
      </c>
      <c r="L34" s="11" t="inlineStr">
        <is>
          <t>non identifié publiquement</t>
        </is>
      </c>
      <c r="M34" s="10" t="inlineStr">
        <is>
          <t>Tous secteurs</t>
        </is>
      </c>
      <c r="N34" s="10" t="inlineStr">
        <is>
          <t>non identifié publiquement</t>
        </is>
      </c>
      <c r="O34" s="10" t="inlineStr">
        <is>
          <t>non identifié publiquement</t>
        </is>
      </c>
      <c r="P34" s="10" t="inlineStr"/>
      <c r="Q34" s="11" t="inlineStr"/>
      <c r="R34" s="10" t="inlineStr">
        <is>
          <t>inscription libre</t>
        </is>
      </c>
      <c r="S34" s="10" t="inlineStr">
        <is>
          <t>non</t>
        </is>
      </c>
      <c r="T34" s="11" t="inlineStr"/>
      <c r="U34" s="10" t="inlineStr">
        <is>
          <t>non identifié publiquement</t>
        </is>
      </c>
      <c r="V34" s="10" t="inlineStr">
        <is>
          <t>https://www.entreprises.cci-paris-idf.fr/evenements/cafe-croissance</t>
        </is>
      </c>
      <c r="W34" s="10" t="inlineStr">
        <is>
          <t>2026-09-15</t>
        </is>
      </c>
      <c r="X34" s="11" t="inlineStr"/>
      <c r="Y34" s="7" t="inlineStr">
        <is>
          <t>0</t>
        </is>
      </c>
      <c r="Z34" s="7" t="inlineStr">
        <is>
          <t>Générique / Transversal</t>
        </is>
      </c>
      <c r="AA34" s="7" t="inlineStr"/>
      <c r="AB34" s="7" t="inlineStr"/>
      <c r="AC34" s="7" t="inlineStr">
        <is>
          <t>1</t>
        </is>
      </c>
      <c r="AD34" s="7" t="inlineStr">
        <is>
          <t>2</t>
        </is>
      </c>
      <c r="AE34" s="7" t="inlineStr">
        <is>
          <t>0</t>
        </is>
      </c>
      <c r="AF34" s="7" t="inlineStr">
        <is>
          <t>Générique / Multi-éditeurs / Sans dominante</t>
        </is>
      </c>
      <c r="AG34" s="8" t="inlineStr">
        <is>
          <t>estimé</t>
        </is>
      </c>
      <c r="AH34" s="12" t="inlineStr">
        <is>
          <t>Aucune dimension logicielle dans le positionnement de l'organisateur : rattache au 0 (sans dominante) plutot que laisse vide, conformement a la demande de non-vide</t>
        </is>
      </c>
      <c r="AI34" s="7" t="inlineStr">
        <is>
          <t>2</t>
        </is>
      </c>
      <c r="AJ34" s="7" t="inlineStr">
        <is>
          <t>16-40</t>
        </is>
      </c>
      <c r="AK34" s="8" t="inlineStr">
        <is>
          <t>estimé</t>
        </is>
      </c>
      <c r="AL34" s="7" t="inlineStr">
        <is>
          <t>estimation : 10 a 30 participants</t>
        </is>
      </c>
      <c r="AM34" s="11" t="inlineStr">
        <is>
          <t>Modele de format (atelier ou formation en chambre de commerce), fourchette 10-30, plafonnee par la capacite du lieu (CCI Hauts-de-Seine - Coeur Defense, Tour ~ 120)</t>
        </is>
      </c>
      <c r="AN34" s="7" t="inlineStr">
        <is>
          <t>moyenne</t>
        </is>
      </c>
      <c r="AO34" s="7" t="inlineStr">
        <is>
          <t>1</t>
        </is>
      </c>
      <c r="AP34" s="7" t="inlineStr">
        <is>
          <t>Décideurs PME/ETI</t>
        </is>
      </c>
      <c r="AQ34" s="7" t="inlineStr">
        <is>
          <t>constaté</t>
        </is>
      </c>
      <c r="AR34" s="12" t="inlineStr"/>
      <c r="AS34" s="7" t="inlineStr">
        <is>
          <t>2</t>
        </is>
      </c>
      <c r="AT34" s="7" t="inlineStr">
        <is>
          <t>Moyen</t>
        </is>
      </c>
      <c r="AU34" s="7" t="inlineStr">
        <is>
          <t>constaté</t>
        </is>
      </c>
      <c r="AV34" s="12" t="inlineStr"/>
      <c r="AW34" s="7" t="inlineStr">
        <is>
          <t>S:0 L:0 N:2 P:1 A:2</t>
        </is>
      </c>
    </row>
    <row r="35">
      <c r="A35" s="10" t="inlineStr">
        <is>
          <t>IA agentique en banque et assurance</t>
        </is>
      </c>
      <c r="B35" s="10" t="inlineStr">
        <is>
          <t>CGI</t>
        </is>
      </c>
      <c r="C35" s="10" t="inlineStr">
        <is>
          <t>2026-09-22</t>
        </is>
      </c>
      <c r="D35" s="10" t="inlineStr"/>
      <c r="E35" s="10" t="inlineStr"/>
      <c r="F35" s="10" t="inlineStr">
        <is>
          <t>non identifié publiquement</t>
        </is>
      </c>
      <c r="G35" s="10" t="inlineStr">
        <is>
          <t>Le Village by CA</t>
        </is>
      </c>
      <c r="H35" s="10" t="inlineStr">
        <is>
          <t>Paris (arrondissement selon le lieu)</t>
        </is>
      </c>
      <c r="I35" s="10" t="inlineStr">
        <is>
          <t>75</t>
        </is>
      </c>
      <c r="J35" s="10" t="inlineStr">
        <is>
          <t>présentiel</t>
        </is>
      </c>
      <c r="K35" s="11" t="inlineStr">
        <is>
          <t>Restitution du livre blanc sur l'industrialisation de l'IA agentique en banque et assurance. Retours d'expérience, gouvernance et risques.</t>
        </is>
      </c>
      <c r="L35" s="11" t="inlineStr">
        <is>
          <t>non identifié publiquement</t>
        </is>
      </c>
      <c r="M35" s="10" t="inlineStr">
        <is>
          <t>Numerique, informatique, technologies</t>
        </is>
      </c>
      <c r="N35" s="10" t="inlineStr">
        <is>
          <t>IA agentique en banque et assurance - Restitution du livre blanc sur l'industrialisation de l'IA agentique en banque et assurance. Retours d'expérie</t>
        </is>
      </c>
      <c r="O35" s="10" t="inlineStr">
        <is>
          <t>non identifié publiquement</t>
        </is>
      </c>
      <c r="P35" s="10" t="inlineStr"/>
      <c r="Q35" s="11" t="inlineStr"/>
      <c r="R35" s="10" t="inlineStr">
        <is>
          <t>non identifié publiquement</t>
        </is>
      </c>
      <c r="S35" s="10" t="inlineStr">
        <is>
          <t>non</t>
        </is>
      </c>
      <c r="T35" s="11" t="inlineStr"/>
      <c r="U35" s="10" t="inlineStr">
        <is>
          <t>non identifié publiquement</t>
        </is>
      </c>
      <c r="V35" s="10" t="inlineStr">
        <is>
          <t>https://www.agenda-tech.com/events/ia-agentique-en-banque-et-assurance</t>
        </is>
      </c>
      <c r="W35" s="10" t="inlineStr">
        <is>
          <t>2026-09-15</t>
        </is>
      </c>
      <c r="X35" s="11" t="inlineStr">
        <is>
          <t>Identifie via l'agregateur specialise Agenda Tech (donnees structurees schema.org publiees par l'organisateur).</t>
        </is>
      </c>
      <c r="Y35" s="7" t="inlineStr">
        <is>
          <t>16|8</t>
        </is>
      </c>
      <c r="Z35" s="7" t="inlineStr">
        <is>
          <t>IA / Intelligence artificielle + Finance / Banque / Assurance</t>
        </is>
      </c>
      <c r="AA35" s="7" t="inlineStr">
        <is>
          <t>11</t>
        </is>
      </c>
      <c r="AB35" s="7" t="inlineStr"/>
      <c r="AC35" s="7" t="inlineStr"/>
      <c r="AD35" s="7" t="inlineStr"/>
      <c r="AE35" s="7" t="inlineStr">
        <is>
          <t>11</t>
        </is>
      </c>
      <c r="AF35" s="7" t="inlineStr">
        <is>
          <t>IA / Automatisation / No-code / Low-code</t>
        </is>
      </c>
      <c r="AG35" s="7" t="inlineStr">
        <is>
          <t>constaté</t>
        </is>
      </c>
      <c r="AH35" s="12" t="inlineStr"/>
      <c r="AI35" s="7" t="inlineStr">
        <is>
          <t>5</t>
        </is>
      </c>
      <c r="AJ35" s="7" t="inlineStr">
        <is>
          <t>401-2000</t>
        </is>
      </c>
      <c r="AK35" s="8" t="inlineStr">
        <is>
          <t>estimé</t>
        </is>
      </c>
      <c r="AL35" s="7" t="inlineStr">
        <is>
          <t>estimation : 300 a 1500 participants</t>
        </is>
      </c>
      <c r="AM35" s="11" t="inlineStr">
        <is>
          <t>Modele de format (convention client d'editeur ou d'integrateur), fourchette 300-1500</t>
        </is>
      </c>
      <c r="AN35" s="7" t="inlineStr">
        <is>
          <t>moyenne</t>
        </is>
      </c>
      <c r="AO35" s="7" t="inlineStr">
        <is>
          <t>3</t>
        </is>
      </c>
      <c r="AP35" s="7" t="inlineStr">
        <is>
          <t>Opérationnels / Utilisateurs métier</t>
        </is>
      </c>
      <c r="AQ35" s="8" t="inlineStr">
        <is>
          <t>estimé</t>
        </is>
      </c>
      <c r="AR35" s="12" t="inlineStr">
        <is>
          <t>Conference technique IA : profils operationnels et utilisateurs metier</t>
        </is>
      </c>
      <c r="AS35" s="7" t="inlineStr">
        <is>
          <t>1</t>
        </is>
      </c>
      <c r="AT35" s="7" t="inlineStr">
        <is>
          <t>Facile</t>
        </is>
      </c>
      <c r="AU35" s="8" t="inlineStr">
        <is>
          <t>estimé</t>
        </is>
      </c>
      <c r="AV35" s="12" t="inlineStr">
        <is>
          <t>Tarif 'Gratuit' publie par Agenda Tech</t>
        </is>
      </c>
      <c r="AW35" s="7" t="inlineStr">
        <is>
          <t>S:16|8 L:11 N:5 P:3 A:1</t>
        </is>
      </c>
    </row>
    <row r="36">
      <c r="A36" s="10" t="inlineStr">
        <is>
          <t>Le Campus - Les Entrepreneurs Paris (21-22 septembre 2026)</t>
        </is>
      </c>
      <c r="B36" s="10" t="inlineStr">
        <is>
          <t>CPME Paris - Les Entrepreneurs Paris</t>
        </is>
      </c>
      <c r="C36" s="10" t="inlineStr">
        <is>
          <t>2026-09-22</t>
        </is>
      </c>
      <c r="D36" s="10" t="inlineStr">
        <is>
          <t>2026-09-22</t>
        </is>
      </c>
      <c r="E36" s="10" t="inlineStr"/>
      <c r="F36" s="10" t="inlineStr">
        <is>
          <t>non identifié publiquement</t>
        </is>
      </c>
      <c r="G36" s="10" t="inlineStr">
        <is>
          <t>Les Entrepreneurs Paris (CPME Paris), 19 rue de l'Amiral d'Estaing</t>
        </is>
      </c>
      <c r="H36" s="10" t="inlineStr">
        <is>
          <t>Paris 16e</t>
        </is>
      </c>
      <c r="I36" s="10" t="inlineStr">
        <is>
          <t>75</t>
        </is>
      </c>
      <c r="J36" s="10" t="inlineStr">
        <is>
          <t>présentiel</t>
        </is>
      </c>
      <c r="K36" s="11" t="inlineStr">
        <is>
          <t>Deux journees immersives pour prendre de la hauteur, acquerir des methodes et repartir avec un plan d'action, avec experts et echanges entre entrepreneurs.</t>
        </is>
      </c>
      <c r="L36" s="11" t="inlineStr">
        <is>
          <t>dirigeants et entrepreneurs adherents ou invites de la CPME Paris</t>
        </is>
      </c>
      <c r="M36" s="10" t="inlineStr">
        <is>
          <t>Tous secteurs (organisation patronale interprofessionnelle)</t>
        </is>
      </c>
      <c r="N36" s="10" t="inlineStr">
        <is>
          <t>non identifié publiquement</t>
        </is>
      </c>
      <c r="O36" s="10" t="inlineStr">
        <is>
          <t>non identifié publiquement</t>
        </is>
      </c>
      <c r="P36" s="10" t="inlineStr"/>
      <c r="Q36" s="11" t="inlineStr"/>
      <c r="R36" s="10" t="inlineStr">
        <is>
          <t>réservé adhérents</t>
        </is>
      </c>
      <c r="S36" s="10" t="inlineStr">
        <is>
          <t>oui</t>
        </is>
      </c>
      <c r="T36" s="11" t="inlineStr">
        <is>
          <t>Evenement d'organisation patronale, oriente adherents CPME Paris</t>
        </is>
      </c>
      <c r="U36" s="10" t="inlineStr">
        <is>
          <t>non identifié publiquement</t>
        </is>
      </c>
      <c r="V36" s="10" t="inlineStr">
        <is>
          <t>https://cpmeparis.fr/agenda/</t>
        </is>
      </c>
      <c r="W36" s="10" t="inlineStr">
        <is>
          <t>2026-09-15</t>
        </is>
      </c>
      <c r="X36" s="11" t="inlineStr">
        <is>
          <t>Identifie via l'agenda public de la CPME Paris (Les Entrepreneurs Paris). Adresse du siege : 19 rue de l'Amiral d'Estaing, 75016 Paris.</t>
        </is>
      </c>
      <c r="Y36" s="7" t="inlineStr">
        <is>
          <t>0</t>
        </is>
      </c>
      <c r="Z36" s="7" t="inlineStr">
        <is>
          <t>Générique / Transversal</t>
        </is>
      </c>
      <c r="AA36" s="7" t="inlineStr"/>
      <c r="AB36" s="7" t="inlineStr"/>
      <c r="AC36" s="7" t="inlineStr">
        <is>
          <t>1</t>
        </is>
      </c>
      <c r="AD36" s="7" t="inlineStr">
        <is>
          <t>2</t>
        </is>
      </c>
      <c r="AE36" s="7" t="inlineStr">
        <is>
          <t>0</t>
        </is>
      </c>
      <c r="AF36" s="7" t="inlineStr">
        <is>
          <t>Générique / Multi-éditeurs / Sans dominante</t>
        </is>
      </c>
      <c r="AG36" s="8" t="inlineStr">
        <is>
          <t>estimé</t>
        </is>
      </c>
      <c r="AH36" s="12" t="inlineStr">
        <is>
          <t>Aucune dimension logicielle dans le positionnement de l'organisateur : rattache au 0 (sans dominante) plutot que laisse vide, conformement a la demande de non-vide</t>
        </is>
      </c>
      <c r="AI36" s="7" t="inlineStr">
        <is>
          <t>4</t>
        </is>
      </c>
      <c r="AJ36" s="7" t="inlineStr">
        <is>
          <t>121-400</t>
        </is>
      </c>
      <c r="AK36" s="8" t="inlineStr">
        <is>
          <t>estimé</t>
        </is>
      </c>
      <c r="AL36" s="7" t="inlineStr">
        <is>
          <t>estimation : 150 a 600 participants</t>
        </is>
      </c>
      <c r="AM36" s="11" t="inlineStr">
        <is>
          <t>Modele de format (colloque ou journee thematique), fourchette 150-600</t>
        </is>
      </c>
      <c r="AN36" s="7" t="inlineStr">
        <is>
          <t>moyenne</t>
        </is>
      </c>
      <c r="AO36" s="7" t="inlineStr">
        <is>
          <t>1</t>
        </is>
      </c>
      <c r="AP36" s="7" t="inlineStr">
        <is>
          <t>Décideurs PME/ETI</t>
        </is>
      </c>
      <c r="AQ36" s="7" t="inlineStr">
        <is>
          <t>constaté</t>
        </is>
      </c>
      <c r="AR36" s="12" t="inlineStr"/>
      <c r="AS36" s="7" t="inlineStr">
        <is>
          <t>2</t>
        </is>
      </c>
      <c r="AT36" s="7" t="inlineStr">
        <is>
          <t>Moyen</t>
        </is>
      </c>
      <c r="AU36" s="7" t="inlineStr">
        <is>
          <t>constaté</t>
        </is>
      </c>
      <c r="AV36" s="12" t="inlineStr"/>
      <c r="AW36" s="7" t="inlineStr">
        <is>
          <t>S:0 L:0 N:4 P:1 A:2</t>
        </is>
      </c>
    </row>
    <row r="37">
      <c r="A37" s="10" t="inlineStr">
        <is>
          <t>REMOOVE Paris Ouest 2026</t>
        </is>
      </c>
      <c r="B37" s="10" t="inlineStr">
        <is>
          <t>CCI Paris Ile-de-France</t>
        </is>
      </c>
      <c r="C37" s="10" t="inlineStr">
        <is>
          <t>2026-09-22</t>
        </is>
      </c>
      <c r="D37" s="10" t="inlineStr"/>
      <c r="E37" s="10" t="inlineStr"/>
      <c r="F37" s="10" t="inlineStr">
        <is>
          <t>non identifié publiquement</t>
        </is>
      </c>
      <c r="G37" s="10" t="inlineStr">
        <is>
          <t>Circuit Jean-Pierre Beltoise, avenue des Freres Lumiere</t>
        </is>
      </c>
      <c r="H37" s="10" t="inlineStr">
        <is>
          <t>Trappes</t>
        </is>
      </c>
      <c r="I37" s="10" t="inlineStr">
        <is>
          <t>78</t>
        </is>
      </c>
      <c r="J37" s="10" t="inlineStr">
        <is>
          <t>présentiel</t>
        </is>
      </c>
      <c r="K37" s="11" t="inlineStr">
        <is>
          <t>Salon des mobilites et du verdissement des flottes, en format essais sur circuit.</t>
        </is>
      </c>
      <c r="L37" s="11" t="inlineStr">
        <is>
          <t>non identifié publiquement</t>
        </is>
      </c>
      <c r="M37" s="10" t="inlineStr">
        <is>
          <t>Mobilite, flottes automobiles, transition energetique</t>
        </is>
      </c>
      <c r="N37" s="10" t="inlineStr">
        <is>
          <t>non identifié publiquement</t>
        </is>
      </c>
      <c r="O37" s="10" t="inlineStr">
        <is>
          <t>non identifié publiquement</t>
        </is>
      </c>
      <c r="P37" s="10" t="inlineStr"/>
      <c r="Q37" s="11" t="inlineStr"/>
      <c r="R37" s="10" t="inlineStr">
        <is>
          <t>inscription libre</t>
        </is>
      </c>
      <c r="S37" s="10" t="inlineStr">
        <is>
          <t>non</t>
        </is>
      </c>
      <c r="T37" s="11" t="inlineStr"/>
      <c r="U37" s="10" t="inlineStr">
        <is>
          <t>non identifié publiquement</t>
        </is>
      </c>
      <c r="V37" s="10" t="inlineStr">
        <is>
          <t>https://www.entreprises.cci-paris-idf.fr/evenements/remoove-paris-ouest-2026</t>
        </is>
      </c>
      <c r="W37" s="10" t="inlineStr">
        <is>
          <t>2026-09-15</t>
        </is>
      </c>
      <c r="X37" s="11" t="inlineStr"/>
      <c r="Y37" s="7" t="inlineStr">
        <is>
          <t>3</t>
        </is>
      </c>
      <c r="Z37" s="7" t="inlineStr">
        <is>
          <t>Industrie / Manufacturing / Automobile / Aéronautique</t>
        </is>
      </c>
      <c r="AA37" s="7" t="inlineStr"/>
      <c r="AB37" s="7" t="inlineStr"/>
      <c r="AC37" s="7" t="inlineStr"/>
      <c r="AD37" s="7" t="inlineStr">
        <is>
          <t>2</t>
        </is>
      </c>
      <c r="AE37" s="7" t="inlineStr">
        <is>
          <t>0</t>
        </is>
      </c>
      <c r="AF37" s="7" t="inlineStr">
        <is>
          <t>Générique / Multi-éditeurs / Sans dominante</t>
        </is>
      </c>
      <c r="AG37" s="8" t="inlineStr">
        <is>
          <t>estimé</t>
        </is>
      </c>
      <c r="AH37" s="12" t="inlineStr">
        <is>
          <t>Aucune dimension logicielle dans le positionnement de l'organisateur : rattache au 0 (sans dominante) plutot que laisse vide, conformement a la demande de non-vide</t>
        </is>
      </c>
      <c r="AI37" s="7" t="inlineStr">
        <is>
          <t>5</t>
        </is>
      </c>
      <c r="AJ37" s="7" t="inlineStr">
        <is>
          <t>401-2000</t>
        </is>
      </c>
      <c r="AK37" s="8" t="inlineStr">
        <is>
          <t>estimé</t>
        </is>
      </c>
      <c r="AL37" s="7" t="inlineStr">
        <is>
          <t>estimation : 300 a 1500 participants</t>
        </is>
      </c>
      <c r="AM37" s="11" t="inlineStr">
        <is>
          <t>Modele de format (salon economique territorial), fourchette 300-1500, plafonnee par la capacite du lieu (Circuit Jean-Pierre Beltoise, avenue des ~ 1500)</t>
        </is>
      </c>
      <c r="AN37" s="7" t="inlineStr">
        <is>
          <t>moyenne</t>
        </is>
      </c>
      <c r="AO37" s="7" t="inlineStr">
        <is>
          <t>1</t>
        </is>
      </c>
      <c r="AP37" s="7" t="inlineStr">
        <is>
          <t>Décideurs PME/ETI</t>
        </is>
      </c>
      <c r="AQ37" s="8" t="inlineStr">
        <is>
          <t>estimé</t>
        </is>
      </c>
      <c r="AR37" s="12" t="inlineStr">
        <is>
          <t>Organisateur CCI : public cible structurel de dirigeants et collaborateurs de TPE-PME</t>
        </is>
      </c>
      <c r="AS37" s="7" t="inlineStr">
        <is>
          <t>2</t>
        </is>
      </c>
      <c r="AT37" s="7" t="inlineStr">
        <is>
          <t>Moyen</t>
        </is>
      </c>
      <c r="AU37" s="7" t="inlineStr">
        <is>
          <t>constaté</t>
        </is>
      </c>
      <c r="AV37" s="12" t="inlineStr"/>
      <c r="AW37" s="7" t="inlineStr">
        <is>
          <t>S:3 L:0 N:5 P:1 A:2</t>
        </is>
      </c>
    </row>
    <row r="38">
      <c r="A38" s="10" t="inlineStr">
        <is>
          <t>SAP NOW AI Tour France</t>
        </is>
      </c>
      <c r="B38" s="10" t="inlineStr">
        <is>
          <t>SAP</t>
        </is>
      </c>
      <c r="C38" s="10" t="inlineStr">
        <is>
          <t>2026-09-22</t>
        </is>
      </c>
      <c r="D38" s="10" t="inlineStr"/>
      <c r="E38" s="10" t="inlineStr"/>
      <c r="F38" s="10" t="inlineStr">
        <is>
          <t>non identifié publiquement</t>
        </is>
      </c>
      <c r="G38" s="10" t="inlineStr">
        <is>
          <t>Les Salles du Carrousel</t>
        </is>
      </c>
      <c r="H38" s="10" t="inlineStr">
        <is>
          <t>Paris (arrondissement selon le lieu)</t>
        </is>
      </c>
      <c r="I38" s="10" t="inlineStr">
        <is>
          <t>75</t>
        </is>
      </c>
      <c r="J38" s="10" t="inlineStr">
        <is>
          <t>présentiel</t>
        </is>
      </c>
      <c r="K38" s="11" t="inlineStr">
        <is>
          <t>SAP NOW AI Tour France le 22 septembre 2026 à Paris. Découvrez Joule, les agents d'IA et les solutions SAP avec démonstrations et networking.</t>
        </is>
      </c>
      <c r="L38" s="11" t="inlineStr">
        <is>
          <t>non identifié publiquement</t>
        </is>
      </c>
      <c r="M38" s="10" t="inlineStr">
        <is>
          <t>Numerique, informatique, technologies</t>
        </is>
      </c>
      <c r="N38" s="10" t="inlineStr">
        <is>
          <t>SAP NOW AI Tour France - SAP NOW AI Tour France le 22 septembre 2026 à Paris. Découvrez Joule, les agents d'IA et les solutions SAP ave</t>
        </is>
      </c>
      <c r="O38" s="10" t="inlineStr">
        <is>
          <t>non identifié publiquement</t>
        </is>
      </c>
      <c r="P38" s="10" t="inlineStr"/>
      <c r="Q38" s="11" t="inlineStr"/>
      <c r="R38" s="10" t="inlineStr">
        <is>
          <t>non identifié publiquement</t>
        </is>
      </c>
      <c r="S38" s="10" t="inlineStr">
        <is>
          <t>non</t>
        </is>
      </c>
      <c r="T38" s="11" t="inlineStr"/>
      <c r="U38" s="10" t="inlineStr">
        <is>
          <t>non identifié publiquement</t>
        </is>
      </c>
      <c r="V38" s="10" t="inlineStr">
        <is>
          <t>https://www.agenda-tech.com/events/sap-now-ai-tour-france-2026</t>
        </is>
      </c>
      <c r="W38" s="10" t="inlineStr">
        <is>
          <t>2026-09-15</t>
        </is>
      </c>
      <c r="X38" s="11" t="inlineStr">
        <is>
          <t>Identifie via l'agregateur specialise Agenda Tech (donnees structurees schema.org publiees par l'organisateur).</t>
        </is>
      </c>
      <c r="Y38" s="7" t="inlineStr">
        <is>
          <t>16|4</t>
        </is>
      </c>
      <c r="Z38" s="7" t="inlineStr">
        <is>
          <t>IA / Intelligence artificielle + Tech / IT / Logiciels / Télécom</t>
        </is>
      </c>
      <c r="AA38" s="7" t="inlineStr">
        <is>
          <t>11</t>
        </is>
      </c>
      <c r="AB38" s="7" t="inlineStr"/>
      <c r="AC38" s="7" t="inlineStr"/>
      <c r="AD38" s="7" t="inlineStr"/>
      <c r="AE38" s="7" t="inlineStr">
        <is>
          <t>11</t>
        </is>
      </c>
      <c r="AF38" s="7" t="inlineStr">
        <is>
          <t>IA / Automatisation / No-code / Low-code</t>
        </is>
      </c>
      <c r="AG38" s="7" t="inlineStr">
        <is>
          <t>constaté</t>
        </is>
      </c>
      <c r="AH38" s="12" t="inlineStr"/>
      <c r="AI38" s="7" t="inlineStr">
        <is>
          <t>5</t>
        </is>
      </c>
      <c r="AJ38" s="7" t="inlineStr">
        <is>
          <t>401-2000</t>
        </is>
      </c>
      <c r="AK38" s="8" t="inlineStr">
        <is>
          <t>estimé</t>
        </is>
      </c>
      <c r="AL38" s="7" t="inlineStr">
        <is>
          <t>estimation : 300 a 1500 participants</t>
        </is>
      </c>
      <c r="AM38" s="11" t="inlineStr">
        <is>
          <t>Modele de format (convention client d'editeur ou d'integrateur), fourchette 300-1500, plafonnee par la capacite du lieu (Les Salles du Carrousel ~ 5000)</t>
        </is>
      </c>
      <c r="AN38" s="7" t="inlineStr">
        <is>
          <t>moyenne</t>
        </is>
      </c>
      <c r="AO38" s="7" t="inlineStr">
        <is>
          <t>1|3</t>
        </is>
      </c>
      <c r="AP38" s="7" t="inlineStr">
        <is>
          <t>Décideurs PME/ETI + Opérationnels / Utilisateurs métier</t>
        </is>
      </c>
      <c r="AQ38" s="8" t="inlineStr">
        <is>
          <t>estimé</t>
        </is>
      </c>
      <c r="AR38" s="12" t="inlineStr">
        <is>
          <t>Convention client d'editeur : decideurs IT et utilisateurs metier</t>
        </is>
      </c>
      <c r="AS38" s="7" t="inlineStr">
        <is>
          <t>1</t>
        </is>
      </c>
      <c r="AT38" s="7" t="inlineStr">
        <is>
          <t>Facile</t>
        </is>
      </c>
      <c r="AU38" s="8" t="inlineStr">
        <is>
          <t>estimé</t>
        </is>
      </c>
      <c r="AV38" s="12" t="inlineStr">
        <is>
          <t>Tarif 'Gratuit' publie par Agenda Tech</t>
        </is>
      </c>
      <c r="AW38" s="7" t="inlineStr">
        <is>
          <t>S:16|4 L:11 N:5 P:1|3 A:1</t>
        </is>
      </c>
    </row>
    <row r="39">
      <c r="A39" s="10" t="inlineStr">
        <is>
          <t>inTouch26 Paris</t>
        </is>
      </c>
      <c r="B39" s="10" t="inlineStr">
        <is>
          <t>Wolters Kluwer — CCH Tagetik</t>
        </is>
      </c>
      <c r="C39" s="10" t="inlineStr">
        <is>
          <t>2026-09-22</t>
        </is>
      </c>
      <c r="D39" s="10" t="inlineStr"/>
      <c r="E39" s="10" t="inlineStr"/>
      <c r="F39" s="10" t="inlineStr">
        <is>
          <t>non identifié publiquement</t>
        </is>
      </c>
      <c r="G39" s="10" t="inlineStr">
        <is>
          <t>Palais Brogniart</t>
        </is>
      </c>
      <c r="H39" s="10" t="inlineStr">
        <is>
          <t>Paris (arrondissement selon le lieu)</t>
        </is>
      </c>
      <c r="I39" s="10" t="inlineStr">
        <is>
          <t>75</t>
        </is>
      </c>
      <c r="J39" s="10" t="inlineStr">
        <is>
          <t>présentiel</t>
        </is>
      </c>
      <c r="K39" s="11" t="inlineStr">
        <is>
          <t>inTouch26 Paris le 22 septembre 2026. Événement Finance réunissant 500+ leaders, clients et partenaires. Découvrez l'IA agentique et la plateforme CCH Tagetik.</t>
        </is>
      </c>
      <c r="L39" s="11" t="inlineStr">
        <is>
          <t>non identifié publiquement</t>
        </is>
      </c>
      <c r="M39" s="10" t="inlineStr">
        <is>
          <t>Numerique, informatique, technologies</t>
        </is>
      </c>
      <c r="N39" s="10" t="inlineStr">
        <is>
          <t>inTouch26 Paris - inTouch26 Paris le 22 septembre 2026. Événement Finance réunissant 500+ leaders, clients et partenaires. Décou</t>
        </is>
      </c>
      <c r="O39" s="10" t="inlineStr">
        <is>
          <t>non identifié publiquement</t>
        </is>
      </c>
      <c r="P39" s="10" t="inlineStr">
        <is>
          <t>ESTIME</t>
        </is>
      </c>
      <c r="Q39" s="11" t="inlineStr">
        <is>
          <t>Effectif attendu publie par l'agregateur specialise Agenda Tech pour cette edition</t>
        </is>
      </c>
      <c r="R39" s="10" t="inlineStr">
        <is>
          <t>non identifié publiquement</t>
        </is>
      </c>
      <c r="S39" s="10" t="inlineStr">
        <is>
          <t>non</t>
        </is>
      </c>
      <c r="T39" s="11" t="inlineStr"/>
      <c r="U39" s="10" t="inlineStr">
        <is>
          <t>non identifié publiquement</t>
        </is>
      </c>
      <c r="V39" s="10" t="inlineStr">
        <is>
          <t>https://www.agenda-tech.com/events/intouch26-paris-finance-2026</t>
        </is>
      </c>
      <c r="W39" s="10" t="inlineStr">
        <is>
          <t>2026-09-15</t>
        </is>
      </c>
      <c r="X39" s="11" t="inlineStr">
        <is>
          <t>Identifie via l'agregateur specialise Agenda Tech (donnees structurees schema.org publiees par l'organisateur).</t>
        </is>
      </c>
      <c r="Y39" s="7" t="inlineStr">
        <is>
          <t>4</t>
        </is>
      </c>
      <c r="Z39" s="7" t="inlineStr">
        <is>
          <t>Tech / IT / Logiciels / Télécom</t>
        </is>
      </c>
      <c r="AA39" s="7" t="inlineStr">
        <is>
          <t>0</t>
        </is>
      </c>
      <c r="AB39" s="7" t="inlineStr"/>
      <c r="AC39" s="7" t="inlineStr">
        <is>
          <t>4</t>
        </is>
      </c>
      <c r="AD39" s="7" t="inlineStr"/>
      <c r="AE39" s="7" t="inlineStr">
        <is>
          <t>0</t>
        </is>
      </c>
      <c r="AF39" s="7" t="inlineStr">
        <is>
          <t>Générique / Multi-éditeurs / Sans dominante</t>
        </is>
      </c>
      <c r="AG39" s="7" t="inlineStr">
        <is>
          <t>déduit</t>
        </is>
      </c>
      <c r="AH39" s="12" t="inlineStr">
        <is>
          <t>Deduit du secteur (axe 1)</t>
        </is>
      </c>
      <c r="AI39" s="7" t="inlineStr">
        <is>
          <t>5</t>
        </is>
      </c>
      <c r="AJ39" s="7" t="inlineStr">
        <is>
          <t>401-2000</t>
        </is>
      </c>
      <c r="AK39" s="8" t="inlineStr">
        <is>
          <t>estimé</t>
        </is>
      </c>
      <c r="AL39" s="7" t="inlineStr">
        <is>
          <t>environ 500 participants</t>
        </is>
      </c>
      <c r="AM39" s="11" t="inlineStr">
        <is>
          <t>Effectif attendu publie par Agenda Tech (agregateur specialise, chiffre de l'organisateur ou de l'agregateur)</t>
        </is>
      </c>
      <c r="AN39" s="7" t="inlineStr">
        <is>
          <t>moyenne</t>
        </is>
      </c>
      <c r="AO39" s="7" t="inlineStr">
        <is>
          <t>4</t>
        </is>
      </c>
      <c r="AP39" s="7" t="inlineStr">
        <is>
          <t>Partenaires / Prescripteurs / Consultants / Intégrateurs</t>
        </is>
      </c>
      <c r="AQ39" s="7" t="inlineStr">
        <is>
          <t>constaté</t>
        </is>
      </c>
      <c r="AR39" s="12" t="inlineStr"/>
      <c r="AS39" s="7" t="inlineStr">
        <is>
          <t>1</t>
        </is>
      </c>
      <c r="AT39" s="7" t="inlineStr">
        <is>
          <t>Facile</t>
        </is>
      </c>
      <c r="AU39" s="8" t="inlineStr">
        <is>
          <t>estimé</t>
        </is>
      </c>
      <c r="AV39" s="12" t="inlineStr">
        <is>
          <t>Tarif 'Gratuit' publie par Agenda Tech</t>
        </is>
      </c>
      <c r="AW39" s="7" t="inlineStr">
        <is>
          <t>S:4 L:0 N:5 P:4 A:1</t>
        </is>
      </c>
    </row>
    <row r="40">
      <c r="A40" s="10" t="inlineStr">
        <is>
          <t>Cybersecurite des IA - Apres-midi Pitch, demos et networking</t>
        </is>
      </c>
      <c r="B40" s="10" t="inlineStr">
        <is>
          <t>Pole Systematic Paris-Region</t>
        </is>
      </c>
      <c r="C40" s="10" t="inlineStr">
        <is>
          <t>2026-09-24</t>
        </is>
      </c>
      <c r="D40" s="10" t="inlineStr"/>
      <c r="E40" s="10" t="inlineStr"/>
      <c r="F40" s="10" t="inlineStr">
        <is>
          <t>non identifié publiquement</t>
        </is>
      </c>
      <c r="G40" s="10" t="inlineStr">
        <is>
          <t>Campus Cyber, 5-7 rue Bellini</t>
        </is>
      </c>
      <c r="H40" s="10" t="inlineStr">
        <is>
          <t>Puteaux</t>
        </is>
      </c>
      <c r="I40" s="10" t="inlineStr">
        <is>
          <t>92</t>
        </is>
      </c>
      <c r="J40" s="10" t="inlineStr">
        <is>
          <t>présentiel</t>
        </is>
      </c>
      <c r="K40" s="11" t="inlineStr">
        <is>
          <t>Apres-midi de pitchs, demonstrations et networking consacree a la cybersecurite des systemes d'intelligence artificielle.</t>
        </is>
      </c>
      <c r="L40" s="11" t="inlineStr">
        <is>
          <t>non identifié publiquement</t>
        </is>
      </c>
      <c r="M40" s="10" t="inlineStr">
        <is>
          <t>Cybersecurite, intelligence artificielle, numerique</t>
        </is>
      </c>
      <c r="N40" s="10" t="inlineStr">
        <is>
          <t>Cybersecurite des IA (tags organisateur : Cyber &amp; Security, Data Science &amp; Artificial Intelligence)</t>
        </is>
      </c>
      <c r="O40" s="10" t="inlineStr">
        <is>
          <t>non identifié publiquement</t>
        </is>
      </c>
      <c r="P40" s="10" t="inlineStr"/>
      <c r="Q40" s="11" t="inlineStr"/>
      <c r="R40" s="10" t="inlineStr">
        <is>
          <t>inscription libre</t>
        </is>
      </c>
      <c r="S40" s="10" t="inlineStr">
        <is>
          <t>non</t>
        </is>
      </c>
      <c r="T40" s="11" t="inlineStr"/>
      <c r="U40" s="10" t="inlineStr">
        <is>
          <t>gratuit</t>
        </is>
      </c>
      <c r="V40" s="10" t="inlineStr">
        <is>
          <t>https://systematic-paris-region.org/evenement/cybersecurite-des-ia-apres-midi-pitch-demos-et-networking/</t>
        </is>
      </c>
      <c r="W40" s="10" t="inlineStr">
        <is>
          <t>2026-09-15</t>
        </is>
      </c>
      <c r="X40" s="11" t="inlineStr">
        <is>
          <t>TRES FORT ALIGNEMENT : croisement IA et cybersecurite au Campus Cyber, lieu de concentration de l'ecosysteme cyber francais. Format pitch/demo/networking propice a la prise de contact.</t>
        </is>
      </c>
      <c r="Y40" s="7" t="inlineStr">
        <is>
          <t>16|4</t>
        </is>
      </c>
      <c r="Z40" s="7" t="inlineStr">
        <is>
          <t>IA / Intelligence artificielle + Tech / IT / Logiciels / Télécom</t>
        </is>
      </c>
      <c r="AA40" s="7" t="inlineStr">
        <is>
          <t>10</t>
        </is>
      </c>
      <c r="AB40" s="7" t="inlineStr"/>
      <c r="AC40" s="7" t="inlineStr"/>
      <c r="AD40" s="7" t="inlineStr">
        <is>
          <t>1</t>
        </is>
      </c>
      <c r="AE40" s="7" t="inlineStr">
        <is>
          <t>10</t>
        </is>
      </c>
      <c r="AF40" s="7" t="inlineStr">
        <is>
          <t>Cybersécurité</t>
        </is>
      </c>
      <c r="AG40" s="7" t="inlineStr">
        <is>
          <t>constaté</t>
        </is>
      </c>
      <c r="AH40" s="12" t="inlineStr"/>
      <c r="AI40" s="7" t="inlineStr">
        <is>
          <t>3</t>
        </is>
      </c>
      <c r="AJ40" s="7" t="inlineStr">
        <is>
          <t>41-120</t>
        </is>
      </c>
      <c r="AK40" s="8" t="inlineStr">
        <is>
          <t>estimé</t>
        </is>
      </c>
      <c r="AL40" s="7" t="inlineStr">
        <is>
          <t>estimation : 50 a 250 participants</t>
        </is>
      </c>
      <c r="AM40" s="11" t="inlineStr">
        <is>
          <t>Modele de format (rendez-vous de pole de competitivite ou de cluster), fourchette 50-250, plafonnee par la capacite du lieu (Campus Cyber, 5-7 rue Bellini ~ 500)</t>
        </is>
      </c>
      <c r="AN40" s="7" t="inlineStr">
        <is>
          <t>moyenne</t>
        </is>
      </c>
      <c r="AO40" s="7" t="inlineStr">
        <is>
          <t>3</t>
        </is>
      </c>
      <c r="AP40" s="7" t="inlineStr">
        <is>
          <t>Opérationnels / Utilisateurs métier</t>
        </is>
      </c>
      <c r="AQ40" s="8" t="inlineStr">
        <is>
          <t>estimé</t>
        </is>
      </c>
      <c r="AR40" s="12" t="inlineStr">
        <is>
          <t>Conference technique IA : profils operationnels et utilisateurs metier</t>
        </is>
      </c>
      <c r="AS40" s="7" t="inlineStr">
        <is>
          <t>1</t>
        </is>
      </c>
      <c r="AT40" s="7" t="inlineStr">
        <is>
          <t>Facile</t>
        </is>
      </c>
      <c r="AU40" s="7" t="inlineStr">
        <is>
          <t>constaté</t>
        </is>
      </c>
      <c r="AV40" s="12" t="inlineStr"/>
      <c r="AW40" s="7" t="inlineStr">
        <is>
          <t>S:16|4 L:10 N:3 P:3 A:1</t>
        </is>
      </c>
    </row>
    <row r="41">
      <c r="A41" s="10" t="inlineStr">
        <is>
          <t>Financer son projet : preparer son dossier et convaincre sa banque</t>
        </is>
      </c>
      <c r="B41" s="10" t="inlineStr">
        <is>
          <t>CPME Paris - Les Entrepreneurs Paris</t>
        </is>
      </c>
      <c r="C41" s="10" t="inlineStr">
        <is>
          <t>2026-09-24</t>
        </is>
      </c>
      <c r="D41" s="10" t="inlineStr"/>
      <c r="E41" s="10" t="inlineStr"/>
      <c r="F41" s="10" t="inlineStr">
        <is>
          <t>non identifié publiquement</t>
        </is>
      </c>
      <c r="G41" s="10" t="inlineStr">
        <is>
          <t>Les Entrepreneurs Paris (CPME Paris), 19 rue de l'Amiral d'Estaing</t>
        </is>
      </c>
      <c r="H41" s="10" t="inlineStr">
        <is>
          <t>Paris 16e</t>
        </is>
      </c>
      <c r="I41" s="10" t="inlineStr">
        <is>
          <t>75</t>
        </is>
      </c>
      <c r="J41" s="10" t="inlineStr">
        <is>
          <t>présentiel</t>
        </is>
      </c>
      <c r="K41" s="11" t="inlineStr">
        <is>
          <t>Un financement réussi ne dépend pas uniquement des chiffres : la qualité du dossier, la préparation du rendez-vous et la relation de confiance avec son banquier sont essentielles.</t>
        </is>
      </c>
      <c r="L41" s="11" t="inlineStr">
        <is>
          <t>dirigeants et entrepreneurs adherents ou invites de la CPME Paris</t>
        </is>
      </c>
      <c r="M41" s="10" t="inlineStr">
        <is>
          <t>Financement</t>
        </is>
      </c>
      <c r="N41" s="10" t="inlineStr">
        <is>
          <t>non identifié publiquement</t>
        </is>
      </c>
      <c r="O41" s="10" t="inlineStr">
        <is>
          <t>non identifié publiquement</t>
        </is>
      </c>
      <c r="P41" s="10" t="inlineStr"/>
      <c r="Q41" s="11" t="inlineStr"/>
      <c r="R41" s="10" t="inlineStr">
        <is>
          <t>réservé adhérents</t>
        </is>
      </c>
      <c r="S41" s="10" t="inlineStr">
        <is>
          <t>oui</t>
        </is>
      </c>
      <c r="T41" s="11" t="inlineStr">
        <is>
          <t>Evenement d'organisation patronale, oriente adherents CPME Paris</t>
        </is>
      </c>
      <c r="U41" s="10" t="inlineStr">
        <is>
          <t>non identifié publiquement</t>
        </is>
      </c>
      <c r="V41" s="10" t="inlineStr">
        <is>
          <t>https://cpmeparis.fr/agenda/</t>
        </is>
      </c>
      <c r="W41" s="10" t="inlineStr">
        <is>
          <t>2026-09-15</t>
        </is>
      </c>
      <c r="X41" s="11" t="inlineStr">
        <is>
          <t>Identifie via l'agenda public de la CPME Paris (Les Entrepreneurs Paris). Adresse du siege : 19 rue de l'Amiral d'Estaing, 75016 Paris.</t>
        </is>
      </c>
      <c r="Y41" s="7" t="inlineStr">
        <is>
          <t>8</t>
        </is>
      </c>
      <c r="Z41" s="7" t="inlineStr">
        <is>
          <t>Finance / Banque / Assurance</t>
        </is>
      </c>
      <c r="AA41" s="7" t="inlineStr"/>
      <c r="AB41" s="7" t="inlineStr"/>
      <c r="AC41" s="7" t="inlineStr">
        <is>
          <t>1</t>
        </is>
      </c>
      <c r="AD41" s="7" t="inlineStr">
        <is>
          <t>2</t>
        </is>
      </c>
      <c r="AE41" s="7" t="inlineStr">
        <is>
          <t>0</t>
        </is>
      </c>
      <c r="AF41" s="7" t="inlineStr">
        <is>
          <t>Générique / Multi-éditeurs / Sans dominante</t>
        </is>
      </c>
      <c r="AG41" s="8" t="inlineStr">
        <is>
          <t>estimé</t>
        </is>
      </c>
      <c r="AH41" s="12" t="inlineStr">
        <is>
          <t>Aucune dimension logicielle dans le positionnement de l'organisateur : rattache au 0 (sans dominante) plutot que laisse vide, conformement a la demande de non-vide</t>
        </is>
      </c>
      <c r="AI41" s="7" t="inlineStr">
        <is>
          <t>3</t>
        </is>
      </c>
      <c r="AJ41" s="7" t="inlineStr">
        <is>
          <t>41-120</t>
        </is>
      </c>
      <c r="AK41" s="8" t="inlineStr">
        <is>
          <t>estimé</t>
        </is>
      </c>
      <c r="AL41" s="7" t="inlineStr">
        <is>
          <t>estimation : 25 a 80 participants</t>
        </is>
      </c>
      <c r="AM41" s="11" t="inlineStr">
        <is>
          <t>Modele de format (rendez-vous d'organisation patronale), fourchette 25-80</t>
        </is>
      </c>
      <c r="AN41" s="7" t="inlineStr">
        <is>
          <t>moyenne</t>
        </is>
      </c>
      <c r="AO41" s="7" t="inlineStr">
        <is>
          <t>1</t>
        </is>
      </c>
      <c r="AP41" s="7" t="inlineStr">
        <is>
          <t>Décideurs PME/ETI</t>
        </is>
      </c>
      <c r="AQ41" s="7" t="inlineStr">
        <is>
          <t>constaté</t>
        </is>
      </c>
      <c r="AR41" s="12" t="inlineStr"/>
      <c r="AS41" s="7" t="inlineStr">
        <is>
          <t>2</t>
        </is>
      </c>
      <c r="AT41" s="7" t="inlineStr">
        <is>
          <t>Moyen</t>
        </is>
      </c>
      <c r="AU41" s="7" t="inlineStr">
        <is>
          <t>constaté</t>
        </is>
      </c>
      <c r="AV41" s="12" t="inlineStr"/>
      <c r="AW41" s="7" t="inlineStr">
        <is>
          <t>S:8 L:0 N:3 P:1 A:2</t>
        </is>
      </c>
    </row>
    <row r="42">
      <c r="A42" s="10" t="inlineStr">
        <is>
          <t>Le Printemps des Etudes 2026</t>
        </is>
      </c>
      <c r="B42" s="10" t="inlineStr">
        <is>
          <t>Empresarial</t>
        </is>
      </c>
      <c r="C42" s="10" t="inlineStr">
        <is>
          <t>2026-09-24</t>
        </is>
      </c>
      <c r="D42" s="10" t="inlineStr">
        <is>
          <t>2026-09-25</t>
        </is>
      </c>
      <c r="E42" s="10" t="inlineStr"/>
      <c r="F42" s="10" t="inlineStr">
        <is>
          <t>annuel</t>
        </is>
      </c>
      <c r="G42" s="10" t="inlineStr">
        <is>
          <t>Palais des Congres de Paris (Porte Maillot)</t>
        </is>
      </c>
      <c r="H42" s="10" t="inlineStr">
        <is>
          <t>Paris 17e</t>
        </is>
      </c>
      <c r="I42" s="10" t="inlineStr">
        <is>
          <t>75</t>
        </is>
      </c>
      <c r="J42" s="10" t="inlineStr">
        <is>
          <t>présentiel</t>
        </is>
      </c>
      <c r="K42" s="11" t="inlineStr">
        <is>
          <t>L'événement de la filière communication, marketing et opinion</t>
        </is>
      </c>
      <c r="L42" s="11" t="inlineStr">
        <is>
          <t>Visitorat : réservé aux professionnels (fiche CCI Paris Ile-de-France)</t>
        </is>
      </c>
      <c r="M42" s="10" t="inlineStr">
        <is>
          <t>Art graphique, publicité, communication, techniques d'édition et d'impression</t>
        </is>
      </c>
      <c r="N42" s="10" t="inlineStr">
        <is>
          <t>non identifié publiquement</t>
        </is>
      </c>
      <c r="O42" s="10" t="inlineStr">
        <is>
          <t>non identifié publiquement</t>
        </is>
      </c>
      <c r="P42" s="10" t="inlineStr"/>
      <c r="Q42" s="11" t="inlineStr"/>
      <c r="R42" s="10" t="inlineStr">
        <is>
          <t>inscription libre</t>
        </is>
      </c>
      <c r="S42" s="10" t="inlineStr">
        <is>
          <t>oui</t>
        </is>
      </c>
      <c r="T42" s="11" t="inlineStr">
        <is>
          <t>Salon reserve aux professionnels des etudes, du marketing et de l'opinion</t>
        </is>
      </c>
      <c r="U42" s="10" t="inlineStr">
        <is>
          <t>non identifié publiquement</t>
        </is>
      </c>
      <c r="V42" s="10" t="inlineStr">
        <is>
          <t>https://www.empresarial.fr/</t>
        </is>
      </c>
      <c r="W42" s="10" t="inlineStr">
        <is>
          <t>2026-09-15</t>
        </is>
      </c>
      <c r="X42" s="11" t="inlineStr">
        <is>
          <t>Filiere etudes de marche, insights et data marketing : acheteurs potentiels de prestations data/IA.</t>
        </is>
      </c>
      <c r="Y42" s="7" t="inlineStr">
        <is>
          <t>9|15</t>
        </is>
      </c>
      <c r="Z42" s="7" t="inlineStr">
        <is>
          <t>Services professionnels / Conseil / Juridique / Comptabilité + Médias / Communication / Culture / Divertissement</t>
        </is>
      </c>
      <c r="AA42" s="7" t="inlineStr"/>
      <c r="AB42" s="7" t="inlineStr"/>
      <c r="AC42" s="7" t="inlineStr"/>
      <c r="AD42" s="7" t="inlineStr">
        <is>
          <t>2</t>
        </is>
      </c>
      <c r="AE42" s="7" t="inlineStr">
        <is>
          <t>0</t>
        </is>
      </c>
      <c r="AF42" s="7" t="inlineStr">
        <is>
          <t>Générique / Multi-éditeurs / Sans dominante</t>
        </is>
      </c>
      <c r="AG42" s="8" t="inlineStr">
        <is>
          <t>estimé</t>
        </is>
      </c>
      <c r="AH42" s="12" t="inlineStr">
        <is>
          <t>Aucune dimension logicielle dans le positionnement de l'organisateur : rattache au 0 (sans dominante) plutot que laisse vide, conformement a la demande de non-vide</t>
        </is>
      </c>
      <c r="AI42" s="7" t="inlineStr">
        <is>
          <t>4</t>
        </is>
      </c>
      <c r="AJ42" s="7" t="inlineStr">
        <is>
          <t>121-400</t>
        </is>
      </c>
      <c r="AK42" s="8" t="inlineStr">
        <is>
          <t>estimé</t>
        </is>
      </c>
      <c r="AL42" s="7" t="inlineStr">
        <is>
          <t>estimation : 100 a 500 participants</t>
        </is>
      </c>
      <c r="AM42" s="11" t="inlineStr">
        <is>
          <t>Modele de format (format non caracterise), fourchette 100-500, plafonnee par la capacite du lieu (Palais des Congres de Paris (Porte Maill ~ 10000)</t>
        </is>
      </c>
      <c r="AN42" s="7" t="inlineStr">
        <is>
          <t>faible</t>
        </is>
      </c>
      <c r="AO42" s="7" t="inlineStr">
        <is>
          <t>1</t>
        </is>
      </c>
      <c r="AP42" s="7" t="inlineStr">
        <is>
          <t>Décideurs PME/ETI</t>
        </is>
      </c>
      <c r="AQ42" s="8" t="inlineStr">
        <is>
          <t>estimé</t>
        </is>
      </c>
      <c r="AR42" s="12" t="inlineStr">
        <is>
          <t>Par defaut, evenement B2B francilien : decideurs PME/ETI</t>
        </is>
      </c>
      <c r="AS42" s="7" t="inlineStr">
        <is>
          <t>2</t>
        </is>
      </c>
      <c r="AT42" s="7" t="inlineStr">
        <is>
          <t>Moyen</t>
        </is>
      </c>
      <c r="AU42" s="7" t="inlineStr">
        <is>
          <t>constaté</t>
        </is>
      </c>
      <c r="AV42" s="12" t="inlineStr"/>
      <c r="AW42" s="7" t="inlineStr">
        <is>
          <t>S:9|15 L:0 N:4 P:1 A:2</t>
        </is>
      </c>
    </row>
    <row r="43">
      <c r="A43" s="10" t="inlineStr">
        <is>
          <t>OWASP AppSec Days France 2026</t>
        </is>
      </c>
      <c r="B43" s="10" t="inlineStr">
        <is>
          <t>OWASP France Chapter</t>
        </is>
      </c>
      <c r="C43" s="10" t="inlineStr">
        <is>
          <t>2026-09-24</t>
        </is>
      </c>
      <c r="D43" s="10" t="inlineStr"/>
      <c r="E43" s="10" t="inlineStr"/>
      <c r="F43" s="10" t="inlineStr">
        <is>
          <t>non identifié publiquement</t>
        </is>
      </c>
      <c r="G43" s="10" t="inlineStr">
        <is>
          <t>La Maison des Associations et de la Solidarité, 10 rue des Terres au Curé, Paris 13</t>
        </is>
      </c>
      <c r="H43" s="10" t="inlineStr">
        <is>
          <t>Paris (arrondissement selon le lieu)</t>
        </is>
      </c>
      <c r="I43" s="10" t="inlineStr">
        <is>
          <t>75</t>
        </is>
      </c>
      <c r="J43" s="10" t="inlineStr">
        <is>
          <t>présentiel</t>
        </is>
      </c>
      <c r="K43" s="11" t="inlineStr">
        <is>
          <t>Conférence sécurité applicative OWASP le 24 septembre 2026 à Paris. Pour développeurs, experts sécurité et décideurs IT. Gratuit, domaines web et applications.</t>
        </is>
      </c>
      <c r="L43" s="11" t="inlineStr">
        <is>
          <t>non identifié publiquement</t>
        </is>
      </c>
      <c r="M43" s="10" t="inlineStr">
        <is>
          <t>Numerique, informatique, technologies</t>
        </is>
      </c>
      <c r="N43" s="10" t="inlineStr">
        <is>
          <t>non identifié publiquement</t>
        </is>
      </c>
      <c r="O43" s="10" t="inlineStr">
        <is>
          <t>non identifié publiquement</t>
        </is>
      </c>
      <c r="P43" s="10" t="inlineStr">
        <is>
          <t>ESTIME</t>
        </is>
      </c>
      <c r="Q43" s="11" t="inlineStr">
        <is>
          <t>Effectif attendu publie par l'agregateur specialise Agenda Tech pour cette edition</t>
        </is>
      </c>
      <c r="R43" s="10" t="inlineStr">
        <is>
          <t>non identifié publiquement</t>
        </is>
      </c>
      <c r="S43" s="10" t="inlineStr">
        <is>
          <t>non</t>
        </is>
      </c>
      <c r="T43" s="11" t="inlineStr"/>
      <c r="U43" s="10" t="inlineStr">
        <is>
          <t>non identifié publiquement</t>
        </is>
      </c>
      <c r="V43" s="10" t="inlineStr">
        <is>
          <t>https://www.agenda-tech.com/events/owasp-appsec-days-france-2026</t>
        </is>
      </c>
      <c r="W43" s="10" t="inlineStr">
        <is>
          <t>2026-09-15</t>
        </is>
      </c>
      <c r="X43" s="11" t="inlineStr">
        <is>
          <t>Identifie via l'agregateur specialise Agenda Tech (donnees structurees schema.org publiees par l'organisateur).</t>
        </is>
      </c>
      <c r="Y43" s="7" t="inlineStr">
        <is>
          <t>4</t>
        </is>
      </c>
      <c r="Z43" s="7" t="inlineStr">
        <is>
          <t>Tech / IT / Logiciels / Télécom</t>
        </is>
      </c>
      <c r="AA43" s="7" t="inlineStr">
        <is>
          <t>10</t>
        </is>
      </c>
      <c r="AB43" s="7" t="inlineStr"/>
      <c r="AC43" s="7" t="inlineStr">
        <is>
          <t>7|1</t>
        </is>
      </c>
      <c r="AD43" s="7" t="inlineStr"/>
      <c r="AE43" s="7" t="inlineStr">
        <is>
          <t>10</t>
        </is>
      </c>
      <c r="AF43" s="7" t="inlineStr">
        <is>
          <t>Cybersécurité</t>
        </is>
      </c>
      <c r="AG43" s="7" t="inlineStr">
        <is>
          <t>constaté</t>
        </is>
      </c>
      <c r="AH43" s="12" t="inlineStr"/>
      <c r="AI43" s="7" t="inlineStr">
        <is>
          <t>4</t>
        </is>
      </c>
      <c r="AJ43" s="7" t="inlineStr">
        <is>
          <t>121-400</t>
        </is>
      </c>
      <c r="AK43" s="8" t="inlineStr">
        <is>
          <t>estimé</t>
        </is>
      </c>
      <c r="AL43" s="7" t="inlineStr">
        <is>
          <t>environ 150 participants</t>
        </is>
      </c>
      <c r="AM43" s="11" t="inlineStr">
        <is>
          <t>Effectif attendu publie par Agenda Tech (agregateur specialise, chiffre de l'organisateur ou de l'agregateur)</t>
        </is>
      </c>
      <c r="AN43" s="7" t="inlineStr">
        <is>
          <t>moyenne</t>
        </is>
      </c>
      <c r="AO43" s="7" t="inlineStr">
        <is>
          <t>7|1</t>
        </is>
      </c>
      <c r="AP43" s="7" t="inlineStr">
        <is>
          <t>Experts / Advisors / Associations professionnelles + Décideurs PME/ETI</t>
        </is>
      </c>
      <c r="AQ43" s="7" t="inlineStr">
        <is>
          <t>constaté</t>
        </is>
      </c>
      <c r="AR43" s="12" t="inlineStr"/>
      <c r="AS43" s="7" t="inlineStr">
        <is>
          <t>2</t>
        </is>
      </c>
      <c r="AT43" s="7" t="inlineStr">
        <is>
          <t>Moyen</t>
        </is>
      </c>
      <c r="AU43" s="8" t="inlineStr">
        <is>
          <t>estimé</t>
        </is>
      </c>
      <c r="AV43" s="12" t="inlineStr">
        <is>
          <t>Tarif payant publie par Agenda Tech</t>
        </is>
      </c>
      <c r="AW43" s="7" t="inlineStr">
        <is>
          <t>S:4 L:10 N:4 P:7|1 A:2</t>
        </is>
      </c>
    </row>
    <row r="44">
      <c r="A44" s="10" t="inlineStr">
        <is>
          <t>Paris WEb</t>
        </is>
      </c>
      <c r="B44" s="10" t="inlineStr">
        <is>
          <t>Paris-Web Association</t>
        </is>
      </c>
      <c r="C44" s="10" t="inlineStr">
        <is>
          <t>2026-09-24</t>
        </is>
      </c>
      <c r="D44" s="10" t="inlineStr">
        <is>
          <t>2026-09-26</t>
        </is>
      </c>
      <c r="E44" s="10" t="inlineStr"/>
      <c r="F44" s="10" t="inlineStr">
        <is>
          <t>non identifié publiquement</t>
        </is>
      </c>
      <c r="G44" s="10" t="inlineStr">
        <is>
          <t>INSEP</t>
        </is>
      </c>
      <c r="H44" s="10" t="inlineStr">
        <is>
          <t>Paris (arrondissement selon le lieu)</t>
        </is>
      </c>
      <c r="I44" s="10" t="inlineStr">
        <is>
          <t>75</t>
        </is>
      </c>
      <c r="J44" s="10" t="inlineStr">
        <is>
          <t>présentiel</t>
        </is>
      </c>
      <c r="K44" s="11" t="inlineStr">
        <is>
          <t>Paris Web 24 septembre 2026 à Paris. Conférence B2B sur le développement web, l'accessibilité et le design. 2 jours de conférences pour professionnels.</t>
        </is>
      </c>
      <c r="L44" s="11" t="inlineStr">
        <is>
          <t>non identifié publiquement</t>
        </is>
      </c>
      <c r="M44" s="10" t="inlineStr">
        <is>
          <t>Numerique, informatique, technologies</t>
        </is>
      </c>
      <c r="N44" s="10" t="inlineStr">
        <is>
          <t>non identifié publiquement</t>
        </is>
      </c>
      <c r="O44" s="10" t="inlineStr">
        <is>
          <t>non identifié publiquement</t>
        </is>
      </c>
      <c r="P44" s="10" t="inlineStr">
        <is>
          <t>ESTIME</t>
        </is>
      </c>
      <c r="Q44" s="11" t="inlineStr">
        <is>
          <t>Effectif attendu publie par l'agregateur specialise Agenda Tech pour cette edition</t>
        </is>
      </c>
      <c r="R44" s="10" t="inlineStr">
        <is>
          <t>non identifié publiquement</t>
        </is>
      </c>
      <c r="S44" s="10" t="inlineStr">
        <is>
          <t>non</t>
        </is>
      </c>
      <c r="T44" s="11" t="inlineStr"/>
      <c r="U44" s="10" t="inlineStr">
        <is>
          <t>non identifié publiquement</t>
        </is>
      </c>
      <c r="V44" s="10" t="inlineStr">
        <is>
          <t>https://www.agenda-tech.com/events/paris-web-2026</t>
        </is>
      </c>
      <c r="W44" s="10" t="inlineStr">
        <is>
          <t>2026-09-15</t>
        </is>
      </c>
      <c r="X44" s="11" t="inlineStr">
        <is>
          <t>Identifie via l'agregateur specialise Agenda Tech (donnees structurees schema.org publiees par l'organisateur).</t>
        </is>
      </c>
      <c r="Y44" s="7" t="inlineStr">
        <is>
          <t>4</t>
        </is>
      </c>
      <c r="Z44" s="7" t="inlineStr">
        <is>
          <t>Tech / IT / Logiciels / Télécom</t>
        </is>
      </c>
      <c r="AA44" s="7" t="inlineStr">
        <is>
          <t>0</t>
        </is>
      </c>
      <c r="AB44" s="7" t="inlineStr"/>
      <c r="AC44" s="7" t="inlineStr"/>
      <c r="AD44" s="7" t="inlineStr"/>
      <c r="AE44" s="7" t="inlineStr">
        <is>
          <t>0</t>
        </is>
      </c>
      <c r="AF44" s="7" t="inlineStr">
        <is>
          <t>Générique / Multi-éditeurs / Sans dominante</t>
        </is>
      </c>
      <c r="AG44" s="7" t="inlineStr">
        <is>
          <t>déduit</t>
        </is>
      </c>
      <c r="AH44" s="12" t="inlineStr">
        <is>
          <t>Deduit du secteur (axe 1)</t>
        </is>
      </c>
      <c r="AI44" s="7" t="inlineStr">
        <is>
          <t>4</t>
        </is>
      </c>
      <c r="AJ44" s="7" t="inlineStr">
        <is>
          <t>121-400</t>
        </is>
      </c>
      <c r="AK44" s="8" t="inlineStr">
        <is>
          <t>estimé</t>
        </is>
      </c>
      <c r="AL44" s="7" t="inlineStr">
        <is>
          <t>environ 300 participants</t>
        </is>
      </c>
      <c r="AM44" s="11" t="inlineStr">
        <is>
          <t>Effectif attendu publie par Agenda Tech (agregateur specialise, chiffre de l'organisateur ou de l'agregateur)</t>
        </is>
      </c>
      <c r="AN44" s="7" t="inlineStr">
        <is>
          <t>moyenne</t>
        </is>
      </c>
      <c r="AO44" s="7" t="inlineStr">
        <is>
          <t>1</t>
        </is>
      </c>
      <c r="AP44" s="7" t="inlineStr">
        <is>
          <t>Décideurs PME/ETI</t>
        </is>
      </c>
      <c r="AQ44" s="8" t="inlineStr">
        <is>
          <t>estimé</t>
        </is>
      </c>
      <c r="AR44" s="12" t="inlineStr">
        <is>
          <t>Par defaut, evenement B2B francilien : decideurs PME/ETI</t>
        </is>
      </c>
      <c r="AS44" s="7" t="inlineStr">
        <is>
          <t>2</t>
        </is>
      </c>
      <c r="AT44" s="7" t="inlineStr">
        <is>
          <t>Moyen</t>
        </is>
      </c>
      <c r="AU44" s="8" t="inlineStr">
        <is>
          <t>estimé</t>
        </is>
      </c>
      <c r="AV44" s="12" t="inlineStr">
        <is>
          <t>Billetterie en vente libre (mention 'Voir tarifs sur le site' chez Agenda Tech), sans gratuite confirmee</t>
        </is>
      </c>
      <c r="AW44" s="7" t="inlineStr">
        <is>
          <t>S:4 L:0 N:4 P:1 A:2</t>
        </is>
      </c>
    </row>
    <row r="45">
      <c r="A45" s="10" t="inlineStr">
        <is>
          <t>PlatformCon Live Paris 2026 (PC26)</t>
        </is>
      </c>
      <c r="B45" s="10" t="inlineStr">
        <is>
          <t>WeScale · PlatformEngineering.org</t>
        </is>
      </c>
      <c r="C45" s="10" t="inlineStr">
        <is>
          <t>2026-09-24</t>
        </is>
      </c>
      <c r="D45" s="10" t="inlineStr"/>
      <c r="E45" s="10" t="inlineStr"/>
      <c r="F45" s="10" t="inlineStr">
        <is>
          <t>non identifié publiquement</t>
        </is>
      </c>
      <c r="G45" s="10" t="inlineStr">
        <is>
          <t>Espace Charenton, Paris 12</t>
        </is>
      </c>
      <c r="H45" s="10" t="inlineStr">
        <is>
          <t>Paris (arrondissement selon le lieu)</t>
        </is>
      </c>
      <c r="I45" s="10" t="inlineStr">
        <is>
          <t>75</t>
        </is>
      </c>
      <c r="J45" s="10" t="inlineStr">
        <is>
          <t>présentiel</t>
        </is>
      </c>
      <c r="K45" s="11" t="inlineStr">
        <is>
          <t>Rejoignez les leaders tech français pour explorer les architectures et pratiques DevOps qui transforment l'industrie le 24 septembre à Paris.</t>
        </is>
      </c>
      <c r="L45" s="11" t="inlineStr">
        <is>
          <t>non identifié publiquement</t>
        </is>
      </c>
      <c r="M45" s="10" t="inlineStr">
        <is>
          <t>Numerique, informatique, technologies</t>
        </is>
      </c>
      <c r="N45" s="10" t="inlineStr">
        <is>
          <t>non identifié publiquement</t>
        </is>
      </c>
      <c r="O45" s="10" t="inlineStr">
        <is>
          <t>non identifié publiquement</t>
        </is>
      </c>
      <c r="P45" s="10" t="inlineStr">
        <is>
          <t>ESTIME</t>
        </is>
      </c>
      <c r="Q45" s="11" t="inlineStr">
        <is>
          <t>Effectif attendu publie par l'agregateur specialise Agenda Tech pour cette edition</t>
        </is>
      </c>
      <c r="R45" s="10" t="inlineStr">
        <is>
          <t>non identifié publiquement</t>
        </is>
      </c>
      <c r="S45" s="10" t="inlineStr">
        <is>
          <t>non</t>
        </is>
      </c>
      <c r="T45" s="11" t="inlineStr"/>
      <c r="U45" s="10" t="inlineStr">
        <is>
          <t>non identifié publiquement</t>
        </is>
      </c>
      <c r="V45" s="10" t="inlineStr">
        <is>
          <t>https://www.agenda-tech.com/events/platformcon-live-paris-2026-pc26-2026</t>
        </is>
      </c>
      <c r="W45" s="10" t="inlineStr">
        <is>
          <t>2026-09-15</t>
        </is>
      </c>
      <c r="X45" s="11" t="inlineStr">
        <is>
          <t>Identifie via l'agregateur specialise Agenda Tech (donnees structurees schema.org publiees par l'organisateur).</t>
        </is>
      </c>
      <c r="Y45" s="7" t="inlineStr">
        <is>
          <t>4</t>
        </is>
      </c>
      <c r="Z45" s="7" t="inlineStr">
        <is>
          <t>Tech / IT / Logiciels / Télécom</t>
        </is>
      </c>
      <c r="AA45" s="7" t="inlineStr">
        <is>
          <t>0</t>
        </is>
      </c>
      <c r="AB45" s="7" t="inlineStr"/>
      <c r="AC45" s="7" t="inlineStr"/>
      <c r="AD45" s="7" t="inlineStr"/>
      <c r="AE45" s="7" t="inlineStr">
        <is>
          <t>0</t>
        </is>
      </c>
      <c r="AF45" s="7" t="inlineStr">
        <is>
          <t>Générique / Multi-éditeurs / Sans dominante</t>
        </is>
      </c>
      <c r="AG45" s="7" t="inlineStr">
        <is>
          <t>déduit</t>
        </is>
      </c>
      <c r="AH45" s="12" t="inlineStr">
        <is>
          <t>Deduit du secteur (axe 1)</t>
        </is>
      </c>
      <c r="AI45" s="7" t="inlineStr">
        <is>
          <t>5</t>
        </is>
      </c>
      <c r="AJ45" s="7" t="inlineStr">
        <is>
          <t>401-2000</t>
        </is>
      </c>
      <c r="AK45" s="8" t="inlineStr">
        <is>
          <t>estimé</t>
        </is>
      </c>
      <c r="AL45" s="7" t="inlineStr">
        <is>
          <t>environ 500 participants</t>
        </is>
      </c>
      <c r="AM45" s="11" t="inlineStr">
        <is>
          <t>Effectif attendu publie par Agenda Tech (agregateur specialise, chiffre de l'organisateur ou de l'agregateur)</t>
        </is>
      </c>
      <c r="AN45" s="7" t="inlineStr">
        <is>
          <t>moyenne</t>
        </is>
      </c>
      <c r="AO45" s="7" t="inlineStr">
        <is>
          <t>1</t>
        </is>
      </c>
      <c r="AP45" s="7" t="inlineStr">
        <is>
          <t>Décideurs PME/ETI</t>
        </is>
      </c>
      <c r="AQ45" s="8" t="inlineStr">
        <is>
          <t>estimé</t>
        </is>
      </c>
      <c r="AR45" s="12" t="inlineStr">
        <is>
          <t>Par defaut, evenement B2B francilien : decideurs PME/ETI</t>
        </is>
      </c>
      <c r="AS45" s="7" t="inlineStr">
        <is>
          <t>2</t>
        </is>
      </c>
      <c r="AT45" s="7" t="inlineStr">
        <is>
          <t>Moyen</t>
        </is>
      </c>
      <c r="AU45" s="8" t="inlineStr">
        <is>
          <t>estimé</t>
        </is>
      </c>
      <c r="AV45" s="12" t="inlineStr">
        <is>
          <t>Tarif payant publie par Agenda Tech</t>
        </is>
      </c>
      <c r="AW45" s="7" t="inlineStr">
        <is>
          <t>S:4 L:0 N:5 P:1 A:2</t>
        </is>
      </c>
    </row>
    <row r="46">
      <c r="A46" s="10" t="inlineStr">
        <is>
          <t>React Native Connection</t>
        </is>
      </c>
      <c r="B46" s="10" t="inlineStr">
        <is>
          <t>La Tech Connection</t>
        </is>
      </c>
      <c r="C46" s="10" t="inlineStr">
        <is>
          <t>2026-09-24</t>
        </is>
      </c>
      <c r="D46" s="10" t="inlineStr"/>
      <c r="E46" s="10" t="inlineStr"/>
      <c r="F46" s="10" t="inlineStr">
        <is>
          <t>non identifié publiquement</t>
        </is>
      </c>
      <c r="G46" s="10" t="inlineStr">
        <is>
          <t>non identifié publiquement</t>
        </is>
      </c>
      <c r="H46" s="10" t="inlineStr">
        <is>
          <t>Paris (arrondissement non communique)</t>
        </is>
      </c>
      <c r="I46" s="10" t="inlineStr">
        <is>
          <t>75</t>
        </is>
      </c>
      <c r="J46" s="10" t="inlineStr">
        <is>
          <t>présentiel</t>
        </is>
      </c>
      <c r="K46" s="11" t="inlineStr">
        <is>
          <t>Conférence React Native à Paris le 24 septembre 2026. Formations, présentations et networking pour développeurs. Organisée par La Tech Connection.</t>
        </is>
      </c>
      <c r="L46" s="11" t="inlineStr">
        <is>
          <t>non identifié publiquement</t>
        </is>
      </c>
      <c r="M46" s="10" t="inlineStr">
        <is>
          <t>Numerique, informatique, technologies</t>
        </is>
      </c>
      <c r="N46" s="10" t="inlineStr">
        <is>
          <t>non identifié publiquement</t>
        </is>
      </c>
      <c r="O46" s="10" t="inlineStr">
        <is>
          <t>non identifié publiquement</t>
        </is>
      </c>
      <c r="P46" s="10" t="inlineStr"/>
      <c r="Q46" s="11" t="inlineStr"/>
      <c r="R46" s="10" t="inlineStr">
        <is>
          <t>non identifié publiquement</t>
        </is>
      </c>
      <c r="S46" s="10" t="inlineStr">
        <is>
          <t>non</t>
        </is>
      </c>
      <c r="T46" s="11" t="inlineStr"/>
      <c r="U46" s="10" t="inlineStr">
        <is>
          <t>non identifié publiquement</t>
        </is>
      </c>
      <c r="V46" s="10" t="inlineStr">
        <is>
          <t>https://www.agenda-tech.com/events/react-native-connection-2026</t>
        </is>
      </c>
      <c r="W46" s="10" t="inlineStr">
        <is>
          <t>2026-09-15</t>
        </is>
      </c>
      <c r="X46" s="11" t="inlineStr">
        <is>
          <t>Identifie via l'agregateur specialise Agenda Tech (donnees structurees schema.org publiees par l'organisateur).</t>
        </is>
      </c>
      <c r="Y46" s="7" t="inlineStr">
        <is>
          <t>4</t>
        </is>
      </c>
      <c r="Z46" s="7" t="inlineStr">
        <is>
          <t>Tech / IT / Logiciels / Télécom</t>
        </is>
      </c>
      <c r="AA46" s="7" t="inlineStr">
        <is>
          <t>0</t>
        </is>
      </c>
      <c r="AB46" s="7" t="inlineStr"/>
      <c r="AC46" s="7" t="inlineStr"/>
      <c r="AD46" s="7" t="inlineStr"/>
      <c r="AE46" s="7" t="inlineStr">
        <is>
          <t>0</t>
        </is>
      </c>
      <c r="AF46" s="7" t="inlineStr">
        <is>
          <t>Générique / Multi-éditeurs / Sans dominante</t>
        </is>
      </c>
      <c r="AG46" s="7" t="inlineStr">
        <is>
          <t>déduit</t>
        </is>
      </c>
      <c r="AH46" s="12" t="inlineStr">
        <is>
          <t>Deduit du secteur (axe 1)</t>
        </is>
      </c>
      <c r="AI46" s="7" t="inlineStr">
        <is>
          <t>4</t>
        </is>
      </c>
      <c r="AJ46" s="7" t="inlineStr">
        <is>
          <t>121-400</t>
        </is>
      </c>
      <c r="AK46" s="8" t="inlineStr">
        <is>
          <t>estimé</t>
        </is>
      </c>
      <c r="AL46" s="7" t="inlineStr">
        <is>
          <t>estimation : 200 a 800 participants</t>
        </is>
      </c>
      <c r="AM46" s="11" t="inlineStr">
        <is>
          <t>Modele de format (conference technique ou sectorielle), fourchette 200-800</t>
        </is>
      </c>
      <c r="AN46" s="7" t="inlineStr">
        <is>
          <t>moyenne</t>
        </is>
      </c>
      <c r="AO46" s="7" t="inlineStr">
        <is>
          <t>1</t>
        </is>
      </c>
      <c r="AP46" s="7" t="inlineStr">
        <is>
          <t>Décideurs PME/ETI</t>
        </is>
      </c>
      <c r="AQ46" s="8" t="inlineStr">
        <is>
          <t>estimé</t>
        </is>
      </c>
      <c r="AR46" s="12" t="inlineStr">
        <is>
          <t>Par defaut, evenement B2B francilien : decideurs PME/ETI</t>
        </is>
      </c>
      <c r="AS46" s="7" t="inlineStr">
        <is>
          <t>2</t>
        </is>
      </c>
      <c r="AT46" s="7" t="inlineStr">
        <is>
          <t>Moyen</t>
        </is>
      </c>
      <c r="AU46" s="8" t="inlineStr">
        <is>
          <t>estimé</t>
        </is>
      </c>
      <c r="AV46" s="12" t="inlineStr">
        <is>
          <t>Tarif payant publie par Agenda Tech</t>
        </is>
      </c>
      <c r="AW46" s="7" t="inlineStr">
        <is>
          <t>S:4 L:0 N:4 P:1 A:2</t>
        </is>
      </c>
    </row>
    <row r="47">
      <c r="A47" s="10" t="inlineStr">
        <is>
          <t>RegTech Day 2026</t>
        </is>
      </c>
      <c r="B47" s="10" t="inlineStr">
        <is>
          <t>Finance Innovation</t>
        </is>
      </c>
      <c r="C47" s="10" t="inlineStr">
        <is>
          <t>2026-09-24</t>
        </is>
      </c>
      <c r="D47" s="10" t="inlineStr"/>
      <c r="E47" s="10" t="inlineStr"/>
      <c r="F47" s="10" t="inlineStr">
        <is>
          <t>annuel</t>
        </is>
      </c>
      <c r="G47" s="10" t="inlineStr">
        <is>
          <t>non identifié publiquement</t>
        </is>
      </c>
      <c r="H47" s="10" t="inlineStr">
        <is>
          <t>non identifié publiquement</t>
        </is>
      </c>
      <c r="I47" s="10" t="inlineStr">
        <is>
          <t>non identifié publiquement</t>
        </is>
      </c>
      <c r="J47" s="10" t="inlineStr">
        <is>
          <t>présentiel</t>
        </is>
      </c>
      <c r="K47" s="11" t="inlineStr">
        <is>
          <t>Evenement annuel de la filiere RegTech (technologies de conformite reglementaire), cree en 2024.</t>
        </is>
      </c>
      <c r="L47" s="11" t="inlineStr">
        <is>
          <t>non identifié publiquement</t>
        </is>
      </c>
      <c r="M47" s="10" t="inlineStr">
        <is>
          <t>Finance, assurance, conformite reglementaire, RegTech</t>
        </is>
      </c>
      <c r="N47" s="10" t="inlineStr">
        <is>
          <t>RegTech : technologies appliquees a la conformite reglementaire</t>
        </is>
      </c>
      <c r="O47" s="10" t="inlineStr">
        <is>
          <t>non identifié publiquement</t>
        </is>
      </c>
      <c r="P47" s="10" t="inlineStr"/>
      <c r="Q47" s="11" t="inlineStr"/>
      <c r="R47" s="10" t="inlineStr">
        <is>
          <t>inscription libre</t>
        </is>
      </c>
      <c r="S47" s="10" t="inlineStr">
        <is>
          <t>non</t>
        </is>
      </c>
      <c r="T47" s="11" t="inlineStr"/>
      <c r="U47" s="10" t="inlineStr">
        <is>
          <t>non identifié publiquement</t>
        </is>
      </c>
      <c r="V47" s="10" t="inlineStr">
        <is>
          <t>https://lafrenchtech.gouv.fr/fr/evenements/regtech-day/</t>
        </is>
      </c>
      <c r="W47" s="10" t="inlineStr">
        <is>
          <t>2026-09-15</t>
        </is>
      </c>
      <c r="X47" s="11" t="inlineStr">
        <is>
          <t>Horaires annonces : matinee et apres-midi. La page dediee finance-innovation.org/regtech-day-2026 renvoie un 404 au 15/09/2026 : lieu non verifiable. Finance Innovation est un pole de competitivite francilien domicilie au Palais Brongniart (75002), mais le lieu de cette edition n'est pas publie : departement laisse non identifie plutot qu'infere.</t>
        </is>
      </c>
      <c r="Y47" s="7" t="inlineStr">
        <is>
          <t>8|9</t>
        </is>
      </c>
      <c r="Z47" s="7" t="inlineStr">
        <is>
          <t>Finance / Banque / Assurance + Services professionnels / Conseil / Juridique / Comptabilité</t>
        </is>
      </c>
      <c r="AA47" s="7" t="inlineStr"/>
      <c r="AB47" s="7" t="inlineStr"/>
      <c r="AC47" s="7" t="inlineStr"/>
      <c r="AD47" s="7" t="inlineStr">
        <is>
          <t>2</t>
        </is>
      </c>
      <c r="AE47" s="7" t="inlineStr">
        <is>
          <t>0</t>
        </is>
      </c>
      <c r="AF47" s="7" t="inlineStr">
        <is>
          <t>Générique / Multi-éditeurs / Sans dominante</t>
        </is>
      </c>
      <c r="AG47" s="8" t="inlineStr">
        <is>
          <t>estimé</t>
        </is>
      </c>
      <c r="AH47" s="12" t="inlineStr">
        <is>
          <t>Dimension logicielle plausible mais non documentee : rattache au 0 (sans dominante)</t>
        </is>
      </c>
      <c r="AI47" s="7" t="inlineStr">
        <is>
          <t>4</t>
        </is>
      </c>
      <c r="AJ47" s="7" t="inlineStr">
        <is>
          <t>121-400</t>
        </is>
      </c>
      <c r="AK47" s="8" t="inlineStr">
        <is>
          <t>estimé</t>
        </is>
      </c>
      <c r="AL47" s="7" t="inlineStr">
        <is>
          <t>estimation : 200 a 800 participants</t>
        </is>
      </c>
      <c r="AM47" s="11" t="inlineStr">
        <is>
          <t>Modele de format (conference technique ou sectorielle), fourchette 200-800</t>
        </is>
      </c>
      <c r="AN47" s="7" t="inlineStr">
        <is>
          <t>moyenne</t>
        </is>
      </c>
      <c r="AO47" s="7" t="inlineStr">
        <is>
          <t>5|6</t>
        </is>
      </c>
      <c r="AP47" s="7" t="inlineStr">
        <is>
          <t>Pairs / Concurrents / Acteurs de l'offre + Investisseurs / Écosystème financement</t>
        </is>
      </c>
      <c r="AQ47" s="8" t="inlineStr">
        <is>
          <t>estimé</t>
        </is>
      </c>
      <c r="AR47" s="12" t="inlineStr">
        <is>
          <t>Evenement d'ecosysteme startup : acteurs de l'offre et investisseurs</t>
        </is>
      </c>
      <c r="AS47" s="7" t="inlineStr">
        <is>
          <t>2</t>
        </is>
      </c>
      <c r="AT47" s="7" t="inlineStr">
        <is>
          <t>Moyen</t>
        </is>
      </c>
      <c r="AU47" s="7" t="inlineStr">
        <is>
          <t>constaté</t>
        </is>
      </c>
      <c r="AV47" s="12" t="inlineStr"/>
      <c r="AW47" s="7" t="inlineStr">
        <is>
          <t>S:8|9 L:0 N:4 P:5|6 A:2</t>
        </is>
      </c>
    </row>
    <row r="48">
      <c r="A48" s="10" t="inlineStr">
        <is>
          <t>Congres SFME - Congres National de Medecine Esthetique 2026</t>
        </is>
      </c>
      <c r="B48" s="10" t="inlineStr">
        <is>
          <t>SFME - Societe Francaise de Medecine Esthetique</t>
        </is>
      </c>
      <c r="C48" s="10" t="inlineStr">
        <is>
          <t>2026-09-25</t>
        </is>
      </c>
      <c r="D48" s="10" t="inlineStr">
        <is>
          <t>2026-09-26</t>
        </is>
      </c>
      <c r="E48" s="10" t="inlineStr"/>
      <c r="F48" s="10" t="inlineStr">
        <is>
          <t>annuel</t>
        </is>
      </c>
      <c r="G48" s="10" t="inlineStr">
        <is>
          <t>Palais des Congres de Paris (Porte Maillot)</t>
        </is>
      </c>
      <c r="H48" s="10" t="inlineStr">
        <is>
          <t>Paris 17e</t>
        </is>
      </c>
      <c r="I48" s="10" t="inlineStr">
        <is>
          <t>75</t>
        </is>
      </c>
      <c r="J48" s="10" t="inlineStr">
        <is>
          <t>présentiel</t>
        </is>
      </c>
      <c r="K48" s="11" t="inlineStr">
        <is>
          <t>Congres national de medecine esthetique.</t>
        </is>
      </c>
      <c r="L48" s="11" t="inlineStr">
        <is>
          <t>non identifié publiquement</t>
        </is>
      </c>
      <c r="M48" s="10" t="inlineStr">
        <is>
          <t>Sante, medecine esthetique</t>
        </is>
      </c>
      <c r="N48" s="10" t="inlineStr">
        <is>
          <t>non identifié publiquement</t>
        </is>
      </c>
      <c r="O48" s="10" t="inlineStr">
        <is>
          <t>non identifié publiquement</t>
        </is>
      </c>
      <c r="P48" s="10" t="inlineStr"/>
      <c r="Q48" s="11" t="inlineStr"/>
      <c r="R48" s="10" t="inlineStr">
        <is>
          <t>billet payant</t>
        </is>
      </c>
      <c r="S48" s="10" t="inlineStr">
        <is>
          <t>oui</t>
        </is>
      </c>
      <c r="T48" s="11" t="inlineStr">
        <is>
          <t>Congres reserve aux medecins et professionnels de sante</t>
        </is>
      </c>
      <c r="U48" s="10" t="inlineStr">
        <is>
          <t>non identifié publiquement</t>
        </is>
      </c>
      <c r="V48" s="10" t="inlineStr">
        <is>
          <t>https://www.viparis.com/actualites-evenements/evenements/congres-sfme-congres-national-de-medecine-esthetique</t>
        </is>
      </c>
      <c r="W48" s="10" t="inlineStr">
        <is>
          <t>2026-09-15</t>
        </is>
      </c>
      <c r="X48" s="11" t="inlineStr">
        <is>
          <t>Identifie via l'agenda du lieu (Viparis).</t>
        </is>
      </c>
      <c r="Y48" s="7" t="inlineStr">
        <is>
          <t>7</t>
        </is>
      </c>
      <c r="Z48" s="7" t="inlineStr">
        <is>
          <t>Santé / Pharma / Biotech / Medtech</t>
        </is>
      </c>
      <c r="AA48" s="7" t="inlineStr"/>
      <c r="AB48" s="7" t="inlineStr"/>
      <c r="AC48" s="7" t="inlineStr">
        <is>
          <t>7</t>
        </is>
      </c>
      <c r="AD48" s="7" t="inlineStr">
        <is>
          <t>2</t>
        </is>
      </c>
      <c r="AE48" s="7" t="inlineStr">
        <is>
          <t>0</t>
        </is>
      </c>
      <c r="AF48" s="7" t="inlineStr">
        <is>
          <t>Générique / Multi-éditeurs / Sans dominante</t>
        </is>
      </c>
      <c r="AG48" s="8" t="inlineStr">
        <is>
          <t>estimé</t>
        </is>
      </c>
      <c r="AH48" s="12" t="inlineStr">
        <is>
          <t>Aucune dimension logicielle dans le positionnement de l'organisateur : rattache au 0 (sans dominante) plutot que laisse vide, conformement a la demande de non-vide</t>
        </is>
      </c>
      <c r="AI48" s="7" t="inlineStr">
        <is>
          <t>6</t>
        </is>
      </c>
      <c r="AJ48" s="7" t="inlineStr">
        <is>
          <t>&gt;2000</t>
        </is>
      </c>
      <c r="AK48" s="8" t="inlineStr">
        <is>
          <t>estimé</t>
        </is>
      </c>
      <c r="AL48" s="7" t="inlineStr">
        <is>
          <t>estimation : 1000 a 6000 participants</t>
        </is>
      </c>
      <c r="AM48" s="11" t="inlineStr">
        <is>
          <t>Modele de format (congres de societe savante), fourchette 1000-6000, plafonnee par la capacite du lieu (Palais des Congres de Paris (Porte Maill ~ 10000)</t>
        </is>
      </c>
      <c r="AN48" s="7" t="inlineStr">
        <is>
          <t>moyenne</t>
        </is>
      </c>
      <c r="AO48" s="7" t="inlineStr">
        <is>
          <t>7</t>
        </is>
      </c>
      <c r="AP48" s="7" t="inlineStr">
        <is>
          <t>Experts / Advisors / Associations professionnelles</t>
        </is>
      </c>
      <c r="AQ48" s="7" t="inlineStr">
        <is>
          <t>constaté</t>
        </is>
      </c>
      <c r="AR48" s="12" t="inlineStr"/>
      <c r="AS48" s="7" t="inlineStr">
        <is>
          <t>2</t>
        </is>
      </c>
      <c r="AT48" s="7" t="inlineStr">
        <is>
          <t>Moyen</t>
        </is>
      </c>
      <c r="AU48" s="7" t="inlineStr">
        <is>
          <t>constaté</t>
        </is>
      </c>
      <c r="AV48" s="12" t="inlineStr"/>
      <c r="AW48" s="7" t="inlineStr">
        <is>
          <t>S:7 L:0 N:6 P:7 A:2</t>
        </is>
      </c>
    </row>
    <row r="49">
      <c r="A49" s="10" t="inlineStr">
        <is>
          <t>SILMO Paris 2026</t>
        </is>
      </c>
      <c r="B49" s="10" t="inlineStr">
        <is>
          <t>non identifié publiquement</t>
        </is>
      </c>
      <c r="C49" s="10" t="inlineStr">
        <is>
          <t>2026-09-25</t>
        </is>
      </c>
      <c r="D49" s="10" t="inlineStr">
        <is>
          <t>2026-09-28</t>
        </is>
      </c>
      <c r="E49" s="10" t="inlineStr"/>
      <c r="F49" s="10" t="inlineStr">
        <is>
          <t>annuel</t>
        </is>
      </c>
      <c r="G49" s="10" t="inlineStr">
        <is>
          <t>Parc des Expositions de Paris Nord Villepinte</t>
        </is>
      </c>
      <c r="H49" s="10" t="inlineStr">
        <is>
          <t>Villepinte</t>
        </is>
      </c>
      <c r="I49" s="10" t="inlineStr">
        <is>
          <t>93</t>
        </is>
      </c>
      <c r="J49" s="10" t="inlineStr">
        <is>
          <t>présentiel</t>
        </is>
      </c>
      <c r="K49" s="11" t="inlineStr">
        <is>
          <t>Le mondial de l'optique</t>
        </is>
      </c>
      <c r="L49" s="11" t="inlineStr">
        <is>
          <t>Visitorat : réservé aux professionnels (fiche CCI Paris Ile-de-France)</t>
        </is>
      </c>
      <c r="M49" s="10" t="inlineStr">
        <is>
          <t>Santé, médecine, pharmacie, biotechnologies et équipements</t>
        </is>
      </c>
      <c r="N49" s="10" t="inlineStr">
        <is>
          <t>non identifié publiquement</t>
        </is>
      </c>
      <c r="O49" s="10" t="inlineStr">
        <is>
          <t>non identifié publiquement</t>
        </is>
      </c>
      <c r="P49" s="10" t="inlineStr">
        <is>
          <t>CONFIRME</t>
        </is>
      </c>
      <c r="Q49" s="11" t="inlineStr">
        <is>
          <t>Chiffres annonces pour l'edition 2026 par Promosalons et Agoris, reprenant l'organisateur</t>
        </is>
      </c>
      <c r="R49" s="10" t="inlineStr">
        <is>
          <t>inscription libre</t>
        </is>
      </c>
      <c r="S49" s="10" t="inlineStr">
        <is>
          <t>oui</t>
        </is>
      </c>
      <c r="T49" s="11" t="inlineStr">
        <is>
          <t>Salon reserve aux professionnels de l'optique et de la lunetterie</t>
        </is>
      </c>
      <c r="U49" s="10" t="inlineStr">
        <is>
          <t>non identifié publiquement</t>
        </is>
      </c>
      <c r="V49" s="10" t="inlineStr">
        <is>
          <t>https://www.cci-paris-idf.fr/fr/evenements-salons/salons-foires-paris-ile-de-france/silmo-paris</t>
        </is>
      </c>
      <c r="W49" s="10" t="inlineStr">
        <is>
          <t>2026-09-15</t>
        </is>
      </c>
      <c r="X49" s="11" t="inlineStr">
        <is>
          <t>Site officiel silmoparis.com inaccessible au scraping (HTTP 403) le 15/09/2026 ; dates confirmees par la fiche CCI Paris IDF.</t>
        </is>
      </c>
      <c r="Y49" s="7" t="inlineStr">
        <is>
          <t>7</t>
        </is>
      </c>
      <c r="Z49" s="7" t="inlineStr">
        <is>
          <t>Santé / Pharma / Biotech / Medtech</t>
        </is>
      </c>
      <c r="AA49" s="7" t="inlineStr"/>
      <c r="AB49" s="7" t="inlineStr"/>
      <c r="AC49" s="7" t="inlineStr"/>
      <c r="AD49" s="7" t="inlineStr">
        <is>
          <t>2</t>
        </is>
      </c>
      <c r="AE49" s="7" t="inlineStr">
        <is>
          <t>0</t>
        </is>
      </c>
      <c r="AF49" s="7" t="inlineStr">
        <is>
          <t>Générique / Multi-éditeurs / Sans dominante</t>
        </is>
      </c>
      <c r="AG49" s="8" t="inlineStr">
        <is>
          <t>estimé</t>
        </is>
      </c>
      <c r="AH49" s="12" t="inlineStr">
        <is>
          <t>Aucune dimension logicielle dans le positionnement de l'organisateur : rattache au 0 (sans dominante) plutot que laisse vide, conformement a la demande de non-vide</t>
        </is>
      </c>
      <c r="AI49" s="7" t="inlineStr">
        <is>
          <t>6</t>
        </is>
      </c>
      <c r="AJ49" s="7" t="inlineStr">
        <is>
          <t>&gt;2000</t>
        </is>
      </c>
      <c r="AK49" s="7" t="inlineStr">
        <is>
          <t>constaté</t>
        </is>
      </c>
      <c r="AL49" s="7" t="inlineStr">
        <is>
          <t>plus de 900 exposants, 1 500 marques, plus de 33 000 visiteurs professionnels</t>
        </is>
      </c>
      <c r="AM49" s="11" t="inlineStr">
        <is>
          <t>Chiffres annonces pour l'edition 2026 par Promosalons et Agoris, reprenant l'organisateur</t>
        </is>
      </c>
      <c r="AN49" s="7" t="inlineStr">
        <is>
          <t>haute</t>
        </is>
      </c>
      <c r="AO49" s="7" t="inlineStr">
        <is>
          <t>7</t>
        </is>
      </c>
      <c r="AP49" s="7" t="inlineStr">
        <is>
          <t>Experts / Advisors / Associations professionnelles</t>
        </is>
      </c>
      <c r="AQ49" s="8" t="inlineStr">
        <is>
          <t>estimé</t>
        </is>
      </c>
      <c r="AR49" s="12" t="inlineStr">
        <is>
          <t>Congres de societe savante ou d'association professionnelle du secteur sante</t>
        </is>
      </c>
      <c r="AS49" s="7" t="inlineStr">
        <is>
          <t>2</t>
        </is>
      </c>
      <c r="AT49" s="7" t="inlineStr">
        <is>
          <t>Moyen</t>
        </is>
      </c>
      <c r="AU49" s="7" t="inlineStr">
        <is>
          <t>constaté</t>
        </is>
      </c>
      <c r="AV49" s="12" t="inlineStr"/>
      <c r="AW49" s="7" t="inlineStr">
        <is>
          <t>S:7 L:0 N:6 P:7 A:2</t>
        </is>
      </c>
    </row>
    <row r="50">
      <c r="A50" s="10" t="inlineStr">
        <is>
          <t>Whisky Live Paris 2026</t>
        </is>
      </c>
      <c r="B50" s="10" t="inlineStr">
        <is>
          <t>La Maison du Whisky</t>
        </is>
      </c>
      <c r="C50" s="10" t="inlineStr">
        <is>
          <t>2026-09-26</t>
        </is>
      </c>
      <c r="D50" s="10" t="inlineStr">
        <is>
          <t>2026-09-28</t>
        </is>
      </c>
      <c r="E50" s="10" t="inlineStr">
        <is>
          <t>2026-09-28 (journee professionnelle)</t>
        </is>
      </c>
      <c r="F50" s="10" t="inlineStr">
        <is>
          <t>annuel</t>
        </is>
      </c>
      <c r="G50" s="10" t="inlineStr">
        <is>
          <t>Grande Halle de la Villette</t>
        </is>
      </c>
      <c r="H50" s="10" t="inlineStr">
        <is>
          <t>Paris 19e</t>
        </is>
      </c>
      <c r="I50" s="10" t="inlineStr">
        <is>
          <t>75</t>
        </is>
      </c>
      <c r="J50" s="10" t="inlineStr">
        <is>
          <t>présentiel</t>
        </is>
      </c>
      <c r="K50" s="11" t="inlineStr">
        <is>
          <t>Salon international des whiskies et spiritueux. Deux journees grand public puis une journee reservee aux professionnels.</t>
        </is>
      </c>
      <c r="L50" s="11" t="inlineStr">
        <is>
          <t>grand public les 26 et 27 septembre ; journee reservee aux professionnels de la filiere le 28 septembre</t>
        </is>
      </c>
      <c r="M50" s="10" t="inlineStr">
        <is>
          <t>Alimentation, hôtellerie, restauration et leurs équipements</t>
        </is>
      </c>
      <c r="N50" s="10" t="inlineStr">
        <is>
          <t>non identifié publiquement</t>
        </is>
      </c>
      <c r="O50" s="10" t="inlineStr">
        <is>
          <t>non identifié publiquement</t>
        </is>
      </c>
      <c r="P50" s="10" t="inlineStr">
        <is>
          <t>CONFIRME</t>
        </is>
      </c>
      <c r="Q50" s="11" t="inlineStr">
        <is>
          <t>Bilan 2025 publie par La Maison du Whisky et relaye par Prestige Whisky ; chiffres exposants 2026 annonces par l'organisateur</t>
        </is>
      </c>
      <c r="R50" s="10" t="inlineStr">
        <is>
          <t>billet payant</t>
        </is>
      </c>
      <c r="S50" s="10" t="inlineStr">
        <is>
          <t>oui</t>
        </is>
      </c>
      <c r="T50" s="11" t="inlineStr">
        <is>
          <t>Journee du 28 septembre reservee aux professionnels de la filiere spiritueux</t>
        </is>
      </c>
      <c r="U50" s="10" t="inlineStr">
        <is>
          <t>non identifié publiquement</t>
        </is>
      </c>
      <c r="V50" s="10" t="inlineStr">
        <is>
          <t>https://www.whiskylive.fr/</t>
        </is>
      </c>
      <c r="W50" s="10" t="inlineStr">
        <is>
          <t>2026-09-15</t>
        </is>
      </c>
      <c r="X50" s="11" t="inlineStr">
        <is>
          <t>Conserve au titre de la journee professionnelle distincte du 28 septembre 2026.</t>
        </is>
      </c>
      <c r="Y50" s="7" t="inlineStr">
        <is>
          <t>6|14</t>
        </is>
      </c>
      <c r="Z50" s="7" t="inlineStr">
        <is>
          <t>Agroalimentaire / Agriculture + Hôtellerie / Restauration / Tourisme</t>
        </is>
      </c>
      <c r="AA50" s="7" t="inlineStr"/>
      <c r="AB50" s="7" t="inlineStr"/>
      <c r="AC50" s="7" t="inlineStr">
        <is>
          <t>3</t>
        </is>
      </c>
      <c r="AD50" s="7" t="inlineStr">
        <is>
          <t>2</t>
        </is>
      </c>
      <c r="AE50" s="7" t="inlineStr">
        <is>
          <t>0</t>
        </is>
      </c>
      <c r="AF50" s="7" t="inlineStr">
        <is>
          <t>Générique / Multi-éditeurs / Sans dominante</t>
        </is>
      </c>
      <c r="AG50" s="8" t="inlineStr">
        <is>
          <t>estimé</t>
        </is>
      </c>
      <c r="AH50" s="12" t="inlineStr">
        <is>
          <t>Aucune dimension logicielle dans le positionnement de l'organisateur : rattache au 0 (sans dominante) plutot que laisse vide, conformement a la demande de non-vide</t>
        </is>
      </c>
      <c r="AI50" s="7" t="inlineStr">
        <is>
          <t>6</t>
        </is>
      </c>
      <c r="AJ50" s="7" t="inlineStr">
        <is>
          <t>&gt;2000</t>
        </is>
      </c>
      <c r="AK50" s="7" t="inlineStr">
        <is>
          <t>constaté</t>
        </is>
      </c>
      <c r="AL50" s="7" t="inlineStr">
        <is>
          <t>plus de 24 500 visiteurs a l'edition 2025 ; plus de 300 distilleries et marques de 35 pays annoncees pour 2026 (22e edition)</t>
        </is>
      </c>
      <c r="AM50" s="11" t="inlineStr">
        <is>
          <t>Bilan 2025 publie par La Maison du Whisky et relaye par Prestige Whisky ; chiffres exposants 2026 annonces par l'organisateur</t>
        </is>
      </c>
      <c r="AN50" s="7" t="inlineStr">
        <is>
          <t>haute</t>
        </is>
      </c>
      <c r="AO50" s="7" t="inlineStr">
        <is>
          <t>3</t>
        </is>
      </c>
      <c r="AP50" s="7" t="inlineStr">
        <is>
          <t>Opérationnels / Utilisateurs métier</t>
        </is>
      </c>
      <c r="AQ50" s="7" t="inlineStr">
        <is>
          <t>constaté</t>
        </is>
      </c>
      <c r="AR50" s="12" t="inlineStr"/>
      <c r="AS50" s="7" t="inlineStr">
        <is>
          <t>2</t>
        </is>
      </c>
      <c r="AT50" s="7" t="inlineStr">
        <is>
          <t>Moyen</t>
        </is>
      </c>
      <c r="AU50" s="7" t="inlineStr">
        <is>
          <t>constaté</t>
        </is>
      </c>
      <c r="AV50" s="12" t="inlineStr"/>
      <c r="AW50" s="7" t="inlineStr">
        <is>
          <t>S:6|14 L:0 N:6 P:3 A:2</t>
        </is>
      </c>
    </row>
    <row r="51">
      <c r="A51" s="10" t="inlineStr">
        <is>
          <t>BOOST CAMP 95 : passez d'une prospection subie a une croissance pilotee</t>
        </is>
      </c>
      <c r="B51" s="10" t="inlineStr">
        <is>
          <t>CCI Paris Ile-de-France</t>
        </is>
      </c>
      <c r="C51" s="10" t="inlineStr">
        <is>
          <t>2026-09-28</t>
        </is>
      </c>
      <c r="D51" s="10" t="inlineStr">
        <is>
          <t>2026-11-30</t>
        </is>
      </c>
      <c r="E51" s="10" t="inlineStr"/>
      <c r="F51" s="10" t="inlineStr">
        <is>
          <t>non identifié publiquement</t>
        </is>
      </c>
      <c r="G51" s="10" t="inlineStr">
        <is>
          <t>CCI Val-d'Oise, 35 boulevard du Port</t>
        </is>
      </c>
      <c r="H51" s="10" t="inlineStr">
        <is>
          <t>Cergy</t>
        </is>
      </c>
      <c r="I51" s="10" t="inlineStr">
        <is>
          <t>95</t>
        </is>
      </c>
      <c r="J51" s="10" t="inlineStr">
        <is>
          <t>présentiel</t>
        </is>
      </c>
      <c r="K51" s="11" t="inlineStr">
        <is>
          <t>Parcours d'accompagnement a la structuration de la prospection commerciale.</t>
        </is>
      </c>
      <c r="L51" s="11" t="inlineStr">
        <is>
          <t>non identifié publiquement</t>
        </is>
      </c>
      <c r="M51" s="10" t="inlineStr">
        <is>
          <t>Commercial, developpement</t>
        </is>
      </c>
      <c r="N51" s="10" t="inlineStr">
        <is>
          <t>non identifié publiquement</t>
        </is>
      </c>
      <c r="O51" s="10" t="inlineStr">
        <is>
          <t>non identifié publiquement</t>
        </is>
      </c>
      <c r="P51" s="10" t="inlineStr"/>
      <c r="Q51" s="11" t="inlineStr"/>
      <c r="R51" s="10" t="inlineStr">
        <is>
          <t>candidature</t>
        </is>
      </c>
      <c r="S51" s="10" t="inlineStr">
        <is>
          <t>non</t>
        </is>
      </c>
      <c r="T51" s="11" t="inlineStr"/>
      <c r="U51" s="10" t="inlineStr">
        <is>
          <t>non identifié publiquement</t>
        </is>
      </c>
      <c r="V51" s="10" t="inlineStr">
        <is>
          <t>https://www.entreprises.cci-paris-idf.fr/evenements/boost-camp-95-passez-dune-prospection-subie-une-croissance-pilotee</t>
        </is>
      </c>
      <c r="W51" s="10" t="inlineStr">
        <is>
          <t>2026-09-15</t>
        </is>
      </c>
      <c r="X51" s="11" t="inlineStr"/>
      <c r="Y51" s="7" t="inlineStr">
        <is>
          <t>0</t>
        </is>
      </c>
      <c r="Z51" s="7" t="inlineStr">
        <is>
          <t>Générique / Transversal</t>
        </is>
      </c>
      <c r="AA51" s="7" t="inlineStr"/>
      <c r="AB51" s="7" t="inlineStr"/>
      <c r="AC51" s="7" t="inlineStr"/>
      <c r="AD51" s="7" t="inlineStr">
        <is>
          <t>2</t>
        </is>
      </c>
      <c r="AE51" s="7" t="inlineStr">
        <is>
          <t>0</t>
        </is>
      </c>
      <c r="AF51" s="7" t="inlineStr">
        <is>
          <t>Générique / Multi-éditeurs / Sans dominante</t>
        </is>
      </c>
      <c r="AG51" s="8" t="inlineStr">
        <is>
          <t>estimé</t>
        </is>
      </c>
      <c r="AH51" s="12" t="inlineStr">
        <is>
          <t>Aucune dimension logicielle dans le positionnement de l'organisateur : rattache au 0 (sans dominante) plutot que laisse vide, conformement a la demande de non-vide</t>
        </is>
      </c>
      <c r="AI51" s="7" t="inlineStr">
        <is>
          <t>1</t>
        </is>
      </c>
      <c r="AJ51" s="7" t="inlineStr">
        <is>
          <t>1-15</t>
        </is>
      </c>
      <c r="AK51" s="8" t="inlineStr">
        <is>
          <t>estimé</t>
        </is>
      </c>
      <c r="AL51" s="7" t="inlineStr">
        <is>
          <t>estimation : 10 a 25 participants</t>
        </is>
      </c>
      <c r="AM51" s="11" t="inlineStr">
        <is>
          <t>Modele de format (parcours d'accompagnement sur candidature), fourchette 10-25, plafonnee par la capacite du lieu (CCI Val-d'Oise, 35 boulevard du Port ~ 120)</t>
        </is>
      </c>
      <c r="AN51" s="7" t="inlineStr">
        <is>
          <t>moyenne</t>
        </is>
      </c>
      <c r="AO51" s="7" t="inlineStr">
        <is>
          <t>1</t>
        </is>
      </c>
      <c r="AP51" s="7" t="inlineStr">
        <is>
          <t>Décideurs PME/ETI</t>
        </is>
      </c>
      <c r="AQ51" s="8" t="inlineStr">
        <is>
          <t>estimé</t>
        </is>
      </c>
      <c r="AR51" s="12" t="inlineStr">
        <is>
          <t>Organisateur CCI : public cible structurel de dirigeants et collaborateurs de TPE-PME</t>
        </is>
      </c>
      <c r="AS51" s="7" t="inlineStr">
        <is>
          <t>2</t>
        </is>
      </c>
      <c r="AT51" s="7" t="inlineStr">
        <is>
          <t>Moyen</t>
        </is>
      </c>
      <c r="AU51" s="7" t="inlineStr">
        <is>
          <t>constaté</t>
        </is>
      </c>
      <c r="AV51" s="12" t="inlineStr"/>
      <c r="AW51" s="7" t="inlineStr">
        <is>
          <t>S:0 L:0 N:1 P:1 A:2</t>
        </is>
      </c>
    </row>
    <row r="52">
      <c r="A52" s="10" t="inlineStr">
        <is>
          <t>Batimat Paris 2026</t>
        </is>
      </c>
      <c r="B52" s="10" t="inlineStr">
        <is>
          <t>RX France (Reed Exhibitions)</t>
        </is>
      </c>
      <c r="C52" s="10" t="inlineStr">
        <is>
          <t>2026-09-28</t>
        </is>
      </c>
      <c r="D52" s="10" t="inlineStr">
        <is>
          <t>2026-10-01</t>
        </is>
      </c>
      <c r="E52" s="10" t="inlineStr"/>
      <c r="F52" s="10" t="inlineStr">
        <is>
          <t>biennal (annees paires)</t>
        </is>
      </c>
      <c r="G52" s="10" t="inlineStr">
        <is>
          <t>Paris Expo Porte de Versailles</t>
        </is>
      </c>
      <c r="H52" s="10" t="inlineStr">
        <is>
          <t>Paris 15e</t>
        </is>
      </c>
      <c r="I52" s="10" t="inlineStr">
        <is>
          <t>75</t>
        </is>
      </c>
      <c r="J52" s="10" t="inlineStr">
        <is>
          <t>présentiel</t>
        </is>
      </c>
      <c r="K52" s="11" t="inlineStr">
        <is>
          <t>Salon multi-spécialiste de la construction : materiaux, gros oeuvre, electricite, menuiserie, fermetures, services. Huit zones d'exposition.</t>
        </is>
      </c>
      <c r="L52" s="11" t="inlineStr">
        <is>
          <t>decideurs, prescripteurs et professionnels de la construction (architectes, urbanistes, artisans et installateurs, bureaux d'etudes, promoteurs immobiliers, collectivites)</t>
        </is>
      </c>
      <c r="M52" s="10" t="inlineStr">
        <is>
          <t>Construction, batiment, immobilier, architecture</t>
        </is>
      </c>
      <c r="N52" s="10" t="inlineStr">
        <is>
          <t>non identifié publiquement</t>
        </is>
      </c>
      <c r="O52" s="10" t="inlineStr">
        <is>
          <t>non identifié publiquement</t>
        </is>
      </c>
      <c r="P52" s="10" t="inlineStr">
        <is>
          <t>CONFIRME</t>
        </is>
      </c>
      <c r="Q52" s="11" t="inlineStr">
        <is>
          <t>Chiffres annonces pour l'edition 2026 par l'organisateur et repris par TradeShowIntel et BlueprintExhibits ; les deux sources divergent sur le nombre d'exposants (1 400-1 500 vs 1 700+), fourchette conservee</t>
        </is>
      </c>
      <c r="R52" s="10" t="inlineStr">
        <is>
          <t>inscription libre</t>
        </is>
      </c>
      <c r="S52" s="10" t="inlineStr">
        <is>
          <t>non</t>
        </is>
      </c>
      <c r="T52" s="11" t="inlineStr"/>
      <c r="U52" s="10" t="inlineStr">
        <is>
          <t>non identifié publiquement</t>
        </is>
      </c>
      <c r="V52" s="10" t="inlineStr">
        <is>
          <t>https://www.batimat.com/</t>
        </is>
      </c>
      <c r="W52" s="10" t="inlineStr">
        <is>
          <t>2026-09-15</t>
        </is>
      </c>
      <c r="X52" s="11" t="inlineStr">
        <is>
          <t>Co-localise avec Interclima+Elec, Ideo Bain, Equipbaie-Metalexpo et Renodays sous la banniere Paris Builders Show ; ces salons sont references comme des entrees distinctes par la CCI Paris IDF et conservent donc des lignes separees. Le site cible les professionnels sans indiquer explicitement de restriction d'acces. Chiffres de frequentation non publies sur la page d'accueil.</t>
        </is>
      </c>
      <c r="Y52" s="7" t="inlineStr">
        <is>
          <t>2</t>
        </is>
      </c>
      <c r="Z52" s="7" t="inlineStr">
        <is>
          <t>Immobilier / Construction / BTP</t>
        </is>
      </c>
      <c r="AA52" s="7" t="inlineStr"/>
      <c r="AB52" s="7" t="inlineStr"/>
      <c r="AC52" s="7" t="inlineStr">
        <is>
          <t>1|4</t>
        </is>
      </c>
      <c r="AD52" s="7" t="inlineStr">
        <is>
          <t>2</t>
        </is>
      </c>
      <c r="AE52" s="7" t="inlineStr">
        <is>
          <t>0</t>
        </is>
      </c>
      <c r="AF52" s="7" t="inlineStr">
        <is>
          <t>Générique / Multi-éditeurs / Sans dominante</t>
        </is>
      </c>
      <c r="AG52" s="8" t="inlineStr">
        <is>
          <t>estimé</t>
        </is>
      </c>
      <c r="AH52" s="12" t="inlineStr">
        <is>
          <t>Aucune dimension logicielle dans le positionnement de l'organisateur : rattache au 0 (sans dominante) plutot que laisse vide, conformement a la demande de non-vide</t>
        </is>
      </c>
      <c r="AI52" s="7" t="inlineStr">
        <is>
          <t>6</t>
        </is>
      </c>
      <c r="AJ52" s="7" t="inlineStr">
        <is>
          <t>&gt;2000</t>
        </is>
      </c>
      <c r="AK52" s="7" t="inlineStr">
        <is>
          <t>constaté</t>
        </is>
      </c>
      <c r="AL52" s="7" t="inlineStr">
        <is>
          <t>1 400 a 1 700 exposants ; plus de 330 000 visiteurs attendus sur l'ensemble du Paris Builders Show</t>
        </is>
      </c>
      <c r="AM52" s="11" t="inlineStr">
        <is>
          <t>Chiffres annonces pour l'edition 2026 par l'organisateur et repris par TradeShowIntel et BlueprintExhibits ; les deux sources divergent sur le nombre d'exposants (1 400-1 500 vs 1 700+), fourchette conservee</t>
        </is>
      </c>
      <c r="AN52" s="7" t="inlineStr">
        <is>
          <t>haute</t>
        </is>
      </c>
      <c r="AO52" s="7" t="inlineStr">
        <is>
          <t>1|4</t>
        </is>
      </c>
      <c r="AP52" s="7" t="inlineStr">
        <is>
          <t>Décideurs PME/ETI + Partenaires / Prescripteurs / Consultants / Intégrateurs</t>
        </is>
      </c>
      <c r="AQ52" s="7" t="inlineStr">
        <is>
          <t>constaté</t>
        </is>
      </c>
      <c r="AR52" s="12" t="inlineStr"/>
      <c r="AS52" s="7" t="inlineStr">
        <is>
          <t>2</t>
        </is>
      </c>
      <c r="AT52" s="7" t="inlineStr">
        <is>
          <t>Moyen</t>
        </is>
      </c>
      <c r="AU52" s="7" t="inlineStr">
        <is>
          <t>constaté</t>
        </is>
      </c>
      <c r="AV52" s="12" t="inlineStr"/>
      <c r="AW52" s="7" t="inlineStr">
        <is>
          <t>S:2 L:0 N:6 P:1|4 A:2</t>
        </is>
      </c>
    </row>
    <row r="53">
      <c r="A53" s="10" t="inlineStr">
        <is>
          <t>Bebe Paris 2026</t>
        </is>
      </c>
      <c r="B53" s="10" t="inlineStr">
        <is>
          <t>Enjoy Family</t>
        </is>
      </c>
      <c r="C53" s="10" t="inlineStr">
        <is>
          <t>2026-09-28</t>
        </is>
      </c>
      <c r="D53" s="10" t="inlineStr">
        <is>
          <t>2026-09-29</t>
        </is>
      </c>
      <c r="E53" s="10" t="inlineStr"/>
      <c r="F53" s="10" t="inlineStr">
        <is>
          <t>annuel</t>
        </is>
      </c>
      <c r="G53" s="10" t="inlineStr">
        <is>
          <t>Parc Floral de Paris</t>
        </is>
      </c>
      <c r="H53" s="10" t="inlineStr">
        <is>
          <t>Paris 12e</t>
        </is>
      </c>
      <c r="I53" s="10" t="inlineStr">
        <is>
          <t>75</t>
        </is>
      </c>
      <c r="J53" s="10" t="inlineStr">
        <is>
          <t>présentiel</t>
        </is>
      </c>
      <c r="K53" s="11" t="inlineStr">
        <is>
          <t>Le salon professionnel de la puériculture</t>
        </is>
      </c>
      <c r="L53" s="11" t="inlineStr">
        <is>
          <t>Visitorat : réservé aux professionnels (fiche CCI Paris Ile-de-France)</t>
        </is>
      </c>
      <c r="M53" s="10" t="inlineStr">
        <is>
          <t>Jeux, jouets et équipements pour l'enfance</t>
        </is>
      </c>
      <c r="N53" s="10" t="inlineStr">
        <is>
          <t>non identifié publiquement</t>
        </is>
      </c>
      <c r="O53" s="10" t="inlineStr">
        <is>
          <t>non identifié publiquement</t>
        </is>
      </c>
      <c r="P53" s="10" t="inlineStr"/>
      <c r="Q53" s="11" t="inlineStr"/>
      <c r="R53" s="10" t="inlineStr">
        <is>
          <t>inscription libre</t>
        </is>
      </c>
      <c r="S53" s="10" t="inlineStr">
        <is>
          <t>oui</t>
        </is>
      </c>
      <c r="T53" s="11" t="inlineStr">
        <is>
          <t>Salon professionnel de la puericulture reserve aux professionnels du secteur</t>
        </is>
      </c>
      <c r="U53" s="10" t="inlineStr">
        <is>
          <t>non identifié publiquement</t>
        </is>
      </c>
      <c r="V53" s="10" t="inlineStr">
        <is>
          <t>https://www.bebe-paris.com/fr</t>
        </is>
      </c>
      <c r="W53" s="10" t="inlineStr">
        <is>
          <t>2026-09-15</t>
        </is>
      </c>
      <c r="X53" s="11" t="inlineStr"/>
      <c r="Y53" s="7" t="inlineStr">
        <is>
          <t>7</t>
        </is>
      </c>
      <c r="Z53" s="7" t="inlineStr">
        <is>
          <t>Santé / Pharma / Biotech / Medtech</t>
        </is>
      </c>
      <c r="AA53" s="7" t="inlineStr"/>
      <c r="AB53" s="7" t="inlineStr"/>
      <c r="AC53" s="7" t="inlineStr">
        <is>
          <t>3</t>
        </is>
      </c>
      <c r="AD53" s="7" t="inlineStr">
        <is>
          <t>2</t>
        </is>
      </c>
      <c r="AE53" s="7" t="inlineStr">
        <is>
          <t>0</t>
        </is>
      </c>
      <c r="AF53" s="7" t="inlineStr">
        <is>
          <t>Générique / Multi-éditeurs / Sans dominante</t>
        </is>
      </c>
      <c r="AG53" s="8" t="inlineStr">
        <is>
          <t>estimé</t>
        </is>
      </c>
      <c r="AH53" s="12" t="inlineStr">
        <is>
          <t>Aucune dimension logicielle dans le positionnement de l'organisateur : rattache au 0 (sans dominante) plutot que laisse vide, conformement a la demande de non-vide</t>
        </is>
      </c>
      <c r="AI53" s="7" t="inlineStr">
        <is>
          <t>6</t>
        </is>
      </c>
      <c r="AJ53" s="7" t="inlineStr">
        <is>
          <t>&gt;2000</t>
        </is>
      </c>
      <c r="AK53" s="8" t="inlineStr">
        <is>
          <t>estimé</t>
        </is>
      </c>
      <c r="AL53" s="7" t="inlineStr">
        <is>
          <t>estimation : 3000 a 5000 participants</t>
        </is>
      </c>
      <c r="AM53" s="11" t="inlineStr">
        <is>
          <t>Modele de format (salon professionnel en parc d'exposition), fourchette 3000-5000, plafonnee par la capacite du lieu (Parc Floral de Paris ~ 5000)</t>
        </is>
      </c>
      <c r="AN53" s="7" t="inlineStr">
        <is>
          <t>moyenne</t>
        </is>
      </c>
      <c r="AO53" s="7" t="inlineStr">
        <is>
          <t>3</t>
        </is>
      </c>
      <c r="AP53" s="7" t="inlineStr">
        <is>
          <t>Opérationnels / Utilisateurs métier</t>
        </is>
      </c>
      <c r="AQ53" s="7" t="inlineStr">
        <is>
          <t>constaté</t>
        </is>
      </c>
      <c r="AR53" s="12" t="inlineStr"/>
      <c r="AS53" s="7" t="inlineStr">
        <is>
          <t>2</t>
        </is>
      </c>
      <c r="AT53" s="7" t="inlineStr">
        <is>
          <t>Moyen</t>
        </is>
      </c>
      <c r="AU53" s="7" t="inlineStr">
        <is>
          <t>constaté</t>
        </is>
      </c>
      <c r="AV53" s="12" t="inlineStr"/>
      <c r="AW53" s="7" t="inlineStr">
        <is>
          <t>S:7 L:0 N:6 P:3 A:2</t>
        </is>
      </c>
    </row>
    <row r="54">
      <c r="A54" s="10" t="inlineStr">
        <is>
          <t>Dataiku Summit Paris 2026</t>
        </is>
      </c>
      <c r="B54" s="10" t="inlineStr">
        <is>
          <t>Dataiku</t>
        </is>
      </c>
      <c r="C54" s="10" t="inlineStr">
        <is>
          <t>2026-09-28</t>
        </is>
      </c>
      <c r="D54" s="10" t="inlineStr"/>
      <c r="E54" s="10" t="inlineStr"/>
      <c r="F54" s="10" t="inlineStr">
        <is>
          <t>non identifié publiquement</t>
        </is>
      </c>
      <c r="G54" s="10" t="inlineStr">
        <is>
          <t>Maison de la Chimie</t>
        </is>
      </c>
      <c r="H54" s="10" t="inlineStr">
        <is>
          <t>Paris (arrondissement selon le lieu)</t>
        </is>
      </c>
      <c r="I54" s="10" t="inlineStr">
        <is>
          <t>75</t>
        </is>
      </c>
      <c r="J54" s="10" t="inlineStr">
        <is>
          <t>présentiel</t>
        </is>
      </c>
      <c r="K54" s="11" t="inlineStr">
        <is>
          <t>Rejoignez 1300+ experts data et IA pour une journée d'apprentissage et networking. 50+ speakers, 4 tracks industries. 29 sept 2026 à Paris.</t>
        </is>
      </c>
      <c r="L54" s="11" t="inlineStr">
        <is>
          <t>non identifié publiquement</t>
        </is>
      </c>
      <c r="M54" s="10" t="inlineStr">
        <is>
          <t>Numerique, informatique, technologies</t>
        </is>
      </c>
      <c r="N54" s="10" t="inlineStr">
        <is>
          <t>Dataiku Summit Paris 2026 - Rejoignez 1300+ experts data et IA pour une journée d'apprentissage et networking. 50+ speakers, 4 tracks indu</t>
        </is>
      </c>
      <c r="O54" s="10" t="inlineStr">
        <is>
          <t>non identifié publiquement</t>
        </is>
      </c>
      <c r="P54" s="10" t="inlineStr">
        <is>
          <t>ESTIME</t>
        </is>
      </c>
      <c r="Q54" s="11" t="inlineStr">
        <is>
          <t>Effectif attendu publie par l'agregateur specialise Agenda Tech pour cette edition</t>
        </is>
      </c>
      <c r="R54" s="10" t="inlineStr">
        <is>
          <t>non identifié publiquement</t>
        </is>
      </c>
      <c r="S54" s="10" t="inlineStr">
        <is>
          <t>non</t>
        </is>
      </c>
      <c r="T54" s="11" t="inlineStr"/>
      <c r="U54" s="10" t="inlineStr">
        <is>
          <t>non identifié publiquement</t>
        </is>
      </c>
      <c r="V54" s="10" t="inlineStr">
        <is>
          <t>https://www.agenda-tech.com/events/dataiku-summit-paris-2026</t>
        </is>
      </c>
      <c r="W54" s="10" t="inlineStr">
        <is>
          <t>2026-09-15</t>
        </is>
      </c>
      <c r="X54" s="11" t="inlineStr">
        <is>
          <t>Identifie via l'agregateur specialise Agenda Tech (donnees structurees schema.org publiees par l'organisateur).</t>
        </is>
      </c>
      <c r="Y54" s="7" t="inlineStr">
        <is>
          <t>16|4</t>
        </is>
      </c>
      <c r="Z54" s="7" t="inlineStr">
        <is>
          <t>IA / Intelligence artificielle + Tech / IT / Logiciels / Télécom</t>
        </is>
      </c>
      <c r="AA54" s="7" t="inlineStr">
        <is>
          <t>9</t>
        </is>
      </c>
      <c r="AB54" s="7" t="inlineStr"/>
      <c r="AC54" s="7" t="inlineStr">
        <is>
          <t>7</t>
        </is>
      </c>
      <c r="AD54" s="7" t="inlineStr"/>
      <c r="AE54" s="7" t="inlineStr">
        <is>
          <t>9</t>
        </is>
      </c>
      <c r="AF54" s="7" t="inlineStr">
        <is>
          <t>Data / BI / Analytics</t>
        </is>
      </c>
      <c r="AG54" s="7" t="inlineStr">
        <is>
          <t>constaté</t>
        </is>
      </c>
      <c r="AH54" s="12" t="inlineStr"/>
      <c r="AI54" s="7" t="inlineStr">
        <is>
          <t>5</t>
        </is>
      </c>
      <c r="AJ54" s="7" t="inlineStr">
        <is>
          <t>401-2000</t>
        </is>
      </c>
      <c r="AK54" s="8" t="inlineStr">
        <is>
          <t>estimé</t>
        </is>
      </c>
      <c r="AL54" s="7" t="inlineStr">
        <is>
          <t>environ 1300 participants</t>
        </is>
      </c>
      <c r="AM54" s="11" t="inlineStr">
        <is>
          <t>Effectif attendu publie par Agenda Tech (agregateur specialise, chiffre de l'organisateur ou de l'agregateur)</t>
        </is>
      </c>
      <c r="AN54" s="7" t="inlineStr">
        <is>
          <t>moyenne</t>
        </is>
      </c>
      <c r="AO54" s="7" t="inlineStr">
        <is>
          <t>7</t>
        </is>
      </c>
      <c r="AP54" s="7" t="inlineStr">
        <is>
          <t>Experts / Advisors / Associations professionnelles</t>
        </is>
      </c>
      <c r="AQ54" s="7" t="inlineStr">
        <is>
          <t>constaté</t>
        </is>
      </c>
      <c r="AR54" s="12" t="inlineStr"/>
      <c r="AS54" s="7" t="inlineStr">
        <is>
          <t>2</t>
        </is>
      </c>
      <c r="AT54" s="7" t="inlineStr">
        <is>
          <t>Moyen</t>
        </is>
      </c>
      <c r="AU54" s="8" t="inlineStr">
        <is>
          <t>estimé</t>
        </is>
      </c>
      <c r="AV54" s="12" t="inlineStr">
        <is>
          <t>Billetterie en vente libre (mention 'Voir tarifs sur le site' chez Agenda Tech), sans gratuite confirmee</t>
        </is>
      </c>
      <c r="AW54" s="7" t="inlineStr">
        <is>
          <t>S:16|4 L:9 N:5 P:7 A:2</t>
        </is>
      </c>
    </row>
    <row r="55">
      <c r="A55" s="10" t="inlineStr">
        <is>
          <t>Ideo Bain 2026</t>
        </is>
      </c>
      <c r="B55" s="10" t="inlineStr">
        <is>
          <t>RX France (Reed Exhibitions)</t>
        </is>
      </c>
      <c r="C55" s="10" t="inlineStr">
        <is>
          <t>2026-09-28</t>
        </is>
      </c>
      <c r="D55" s="10" t="inlineStr">
        <is>
          <t>2026-10-01</t>
        </is>
      </c>
      <c r="E55" s="10" t="inlineStr"/>
      <c r="F55" s="10" t="inlineStr">
        <is>
          <t>biennal (annees paires)</t>
        </is>
      </c>
      <c r="G55" s="10" t="inlineStr">
        <is>
          <t>Paris Expo Porte de Versailles</t>
        </is>
      </c>
      <c r="H55" s="10" t="inlineStr">
        <is>
          <t>Paris 15e</t>
        </is>
      </c>
      <c r="I55" s="10" t="inlineStr">
        <is>
          <t>75</t>
        </is>
      </c>
      <c r="J55" s="10" t="inlineStr">
        <is>
          <t>présentiel</t>
        </is>
      </c>
      <c r="K55" s="11" t="inlineStr">
        <is>
          <t>Le salon des aménagements et équipements de la salle de bains</t>
        </is>
      </c>
      <c r="L55" s="11" t="inlineStr">
        <is>
          <t>Visitorat : réservé aux professionnels (fiche CCI Paris Ile-de-France)</t>
        </is>
      </c>
      <c r="M55" s="10" t="inlineStr">
        <is>
          <t>Habitat, aménagement de la maison, du bureau, décoration, cadeaux et artisanat</t>
        </is>
      </c>
      <c r="N55" s="10" t="inlineStr">
        <is>
          <t>non identifié publiquement</t>
        </is>
      </c>
      <c r="O55" s="10" t="inlineStr">
        <is>
          <t>non identifié publiquement</t>
        </is>
      </c>
      <c r="P55" s="10" t="inlineStr"/>
      <c r="Q55" s="11" t="inlineStr"/>
      <c r="R55" s="10" t="inlineStr">
        <is>
          <t>inscription libre</t>
        </is>
      </c>
      <c r="S55" s="10" t="inlineStr">
        <is>
          <t>non</t>
        </is>
      </c>
      <c r="T55" s="11" t="inlineStr"/>
      <c r="U55" s="10" t="inlineStr">
        <is>
          <t>non identifié publiquement</t>
        </is>
      </c>
      <c r="V55" s="10" t="inlineStr">
        <is>
          <t>https://www.cci-paris-idf.fr/fr/evenements-salons/salons-foires-paris-ile-de-france/ideo-bain-tenue-conjointe-aux-salons-batimat-et-interclimatelec</t>
        </is>
      </c>
      <c r="W55" s="10" t="inlineStr">
        <is>
          <t>2026-09-15</t>
        </is>
      </c>
      <c r="X55" s="11" t="inlineStr">
        <is>
          <t>Co-localise avec Batimat et Interclima+Elec (Paris Builders Show), memes dates et meme site.</t>
        </is>
      </c>
      <c r="Y55" s="7" t="inlineStr">
        <is>
          <t>2</t>
        </is>
      </c>
      <c r="Z55" s="7" t="inlineStr">
        <is>
          <t>Immobilier / Construction / BTP</t>
        </is>
      </c>
      <c r="AA55" s="7" t="inlineStr"/>
      <c r="AB55" s="7" t="inlineStr"/>
      <c r="AC55" s="7" t="inlineStr">
        <is>
          <t>3</t>
        </is>
      </c>
      <c r="AD55" s="7" t="inlineStr">
        <is>
          <t>2</t>
        </is>
      </c>
      <c r="AE55" s="7" t="inlineStr">
        <is>
          <t>0</t>
        </is>
      </c>
      <c r="AF55" s="7" t="inlineStr">
        <is>
          <t>Générique / Multi-éditeurs / Sans dominante</t>
        </is>
      </c>
      <c r="AG55" s="8" t="inlineStr">
        <is>
          <t>estimé</t>
        </is>
      </c>
      <c r="AH55" s="12" t="inlineStr">
        <is>
          <t>Aucune dimension logicielle dans le positionnement de l'organisateur : rattache au 0 (sans dominante) plutot que laisse vide, conformement a la demande de non-vide</t>
        </is>
      </c>
      <c r="AI55" s="7" t="inlineStr">
        <is>
          <t>6</t>
        </is>
      </c>
      <c r="AJ55" s="7" t="inlineStr">
        <is>
          <t>&gt;2000</t>
        </is>
      </c>
      <c r="AK55" s="8" t="inlineStr">
        <is>
          <t>estimé</t>
        </is>
      </c>
      <c r="AL55" s="7" t="inlineStr">
        <is>
          <t>estimation : 3000 a 30000 participants</t>
        </is>
      </c>
      <c r="AM55" s="11" t="inlineStr">
        <is>
          <t>Modele de format (salon professionnel en parc d'exposition), fourchette 3000-30000, plafonnee par la capacite du lieu (Paris Expo Porte de Versailles ~ 200000)</t>
        </is>
      </c>
      <c r="AN55" s="7" t="inlineStr">
        <is>
          <t>moyenne</t>
        </is>
      </c>
      <c r="AO55" s="7" t="inlineStr">
        <is>
          <t>3</t>
        </is>
      </c>
      <c r="AP55" s="7" t="inlineStr">
        <is>
          <t>Opérationnels / Utilisateurs métier</t>
        </is>
      </c>
      <c r="AQ55" s="7" t="inlineStr">
        <is>
          <t>constaté</t>
        </is>
      </c>
      <c r="AR55" s="12" t="inlineStr"/>
      <c r="AS55" s="7" t="inlineStr">
        <is>
          <t>2</t>
        </is>
      </c>
      <c r="AT55" s="7" t="inlineStr">
        <is>
          <t>Moyen</t>
        </is>
      </c>
      <c r="AU55" s="7" t="inlineStr">
        <is>
          <t>constaté</t>
        </is>
      </c>
      <c r="AV55" s="12" t="inlineStr"/>
      <c r="AW55" s="7" t="inlineStr">
        <is>
          <t>S:2 L:0 N:6 P:3 A:2</t>
        </is>
      </c>
    </row>
    <row r="56">
      <c r="A56" s="10" t="inlineStr">
        <is>
          <t>Interclima+Elec 2026</t>
        </is>
      </c>
      <c r="B56" s="10" t="inlineStr">
        <is>
          <t>RX France (Reed Exhibitions)</t>
        </is>
      </c>
      <c r="C56" s="10" t="inlineStr">
        <is>
          <t>2026-09-28</t>
        </is>
      </c>
      <c r="D56" s="10" t="inlineStr">
        <is>
          <t>2026-10-01</t>
        </is>
      </c>
      <c r="E56" s="10" t="inlineStr"/>
      <c r="F56" s="10" t="inlineStr">
        <is>
          <t>biennal (annees paires)</t>
        </is>
      </c>
      <c r="G56" s="10" t="inlineStr">
        <is>
          <t>Paris Expo Porte de Versailles</t>
        </is>
      </c>
      <c r="H56" s="10" t="inlineStr">
        <is>
          <t>Paris 15e</t>
        </is>
      </c>
      <c r="I56" s="10" t="inlineStr">
        <is>
          <t>75</t>
        </is>
      </c>
      <c r="J56" s="10" t="inlineStr">
        <is>
          <t>présentiel</t>
        </is>
      </c>
      <c r="K56" s="11" t="inlineStr">
        <is>
          <t>Le salon du chauffage, de la ventilation, du conditionnement d'air et de l'énergie</t>
        </is>
      </c>
      <c r="L56" s="11" t="inlineStr">
        <is>
          <t>Visitorat : réservé aux professionnels (fiche CCI Paris Ile-de-France)</t>
        </is>
      </c>
      <c r="M56" s="10" t="inlineStr">
        <is>
          <t>Bâtiment, travaux publics, second oeuvre, aménagement et architecture</t>
        </is>
      </c>
      <c r="N56" s="10" t="inlineStr">
        <is>
          <t>non identifié publiquement</t>
        </is>
      </c>
      <c r="O56" s="10" t="inlineStr">
        <is>
          <t>non identifié publiquement</t>
        </is>
      </c>
      <c r="P56" s="10" t="inlineStr"/>
      <c r="Q56" s="11" t="inlineStr"/>
      <c r="R56" s="10" t="inlineStr">
        <is>
          <t>inscription libre</t>
        </is>
      </c>
      <c r="S56" s="10" t="inlineStr">
        <is>
          <t>non</t>
        </is>
      </c>
      <c r="T56" s="11" t="inlineStr"/>
      <c r="U56" s="10" t="inlineStr">
        <is>
          <t>non identifié publiquement</t>
        </is>
      </c>
      <c r="V56" s="10" t="inlineStr">
        <is>
          <t>https://www.cci-paris-idf.fr/fr/evenements-salons/salons-foires-paris-ile-de-france/inrerclima-tenue-conjointe-aux-salons-batimat-et-ideo-bain</t>
        </is>
      </c>
      <c r="W56" s="10" t="inlineStr">
        <is>
          <t>2026-09-15</t>
        </is>
      </c>
      <c r="X56" s="11" t="inlineStr">
        <is>
          <t>Intitule orthographie 'Inrerclima' dans le repertoire CCI (coquille source). Co-localise avec Batimat et Ideo Bain.</t>
        </is>
      </c>
      <c r="Y56" s="7" t="inlineStr">
        <is>
          <t>2</t>
        </is>
      </c>
      <c r="Z56" s="7" t="inlineStr">
        <is>
          <t>Immobilier / Construction / BTP</t>
        </is>
      </c>
      <c r="AA56" s="7" t="inlineStr"/>
      <c r="AB56" s="7" t="inlineStr"/>
      <c r="AC56" s="7" t="inlineStr"/>
      <c r="AD56" s="7" t="inlineStr">
        <is>
          <t>2</t>
        </is>
      </c>
      <c r="AE56" s="7" t="inlineStr">
        <is>
          <t>0</t>
        </is>
      </c>
      <c r="AF56" s="7" t="inlineStr">
        <is>
          <t>Générique / Multi-éditeurs / Sans dominante</t>
        </is>
      </c>
      <c r="AG56" s="8" t="inlineStr">
        <is>
          <t>estimé</t>
        </is>
      </c>
      <c r="AH56" s="12" t="inlineStr">
        <is>
          <t>Aucune dimension logicielle dans le positionnement de l'organisateur : rattache au 0 (sans dominante) plutot que laisse vide, conformement a la demande de non-vide</t>
        </is>
      </c>
      <c r="AI56" s="7" t="inlineStr">
        <is>
          <t>6</t>
        </is>
      </c>
      <c r="AJ56" s="7" t="inlineStr">
        <is>
          <t>&gt;2000</t>
        </is>
      </c>
      <c r="AK56" s="8" t="inlineStr">
        <is>
          <t>estimé</t>
        </is>
      </c>
      <c r="AL56" s="7" t="inlineStr">
        <is>
          <t>estimation : 3000 a 30000 participants</t>
        </is>
      </c>
      <c r="AM56" s="11" t="inlineStr">
        <is>
          <t>Modele de format (salon professionnel en parc d'exposition), fourchette 3000-30000, plafonnee par la capacite du lieu (Paris Expo Porte de Versailles ~ 200000)</t>
        </is>
      </c>
      <c r="AN56" s="7" t="inlineStr">
        <is>
          <t>moyenne</t>
        </is>
      </c>
      <c r="AO56" s="7" t="inlineStr">
        <is>
          <t>1</t>
        </is>
      </c>
      <c r="AP56" s="7" t="inlineStr">
        <is>
          <t>Décideurs PME/ETI</t>
        </is>
      </c>
      <c r="AQ56" s="8" t="inlineStr">
        <is>
          <t>estimé</t>
        </is>
      </c>
      <c r="AR56" s="12" t="inlineStr">
        <is>
          <t>Par defaut, evenement B2B francilien : decideurs PME/ETI</t>
        </is>
      </c>
      <c r="AS56" s="7" t="inlineStr">
        <is>
          <t>2</t>
        </is>
      </c>
      <c r="AT56" s="7" t="inlineStr">
        <is>
          <t>Moyen</t>
        </is>
      </c>
      <c r="AU56" s="7" t="inlineStr">
        <is>
          <t>constaté</t>
        </is>
      </c>
      <c r="AV56" s="12" t="inlineStr"/>
      <c r="AW56" s="7" t="inlineStr">
        <is>
          <t>S:2 L:0 N:6 P:1 A:2</t>
        </is>
      </c>
    </row>
    <row r="57">
      <c r="A57" s="10" t="inlineStr">
        <is>
          <t>Renodays 2026</t>
        </is>
      </c>
      <c r="B57" s="10" t="inlineStr">
        <is>
          <t>RX France (Reed Exhibitions)</t>
        </is>
      </c>
      <c r="C57" s="10" t="inlineStr">
        <is>
          <t>2026-09-28</t>
        </is>
      </c>
      <c r="D57" s="10" t="inlineStr">
        <is>
          <t>2026-09-29</t>
        </is>
      </c>
      <c r="E57" s="10" t="inlineStr"/>
      <c r="F57" s="10" t="inlineStr">
        <is>
          <t>annuel</t>
        </is>
      </c>
      <c r="G57" s="10" t="inlineStr">
        <is>
          <t>Paris Expo Porte de Versailles - Hall 7.1</t>
        </is>
      </c>
      <c r="H57" s="10" t="inlineStr">
        <is>
          <t>Paris 15e</t>
        </is>
      </c>
      <c r="I57" s="10" t="inlineStr">
        <is>
          <t>75</t>
        </is>
      </c>
      <c r="J57" s="10" t="inlineStr">
        <is>
          <t>présentiel</t>
        </is>
      </c>
      <c r="K57" s="11" t="inlineStr">
        <is>
          <t>Forum de la renovation globale et performante des logements : renovation energetique, isolation, chauffage, menuiserie.</t>
        </is>
      </c>
      <c r="L57" s="11" t="inlineStr">
        <is>
          <t>Reserve aux professionnels : fabricants, distributeurs, installateurs et fournisseurs de solutions de renovation energetique</t>
        </is>
      </c>
      <c r="M57" s="10" t="inlineStr">
        <is>
          <t>Bâtiment, travaux publics, second oeuvre, aménagement et architecture</t>
        </is>
      </c>
      <c r="N57" s="10" t="inlineStr">
        <is>
          <t>non identifié publiquement</t>
        </is>
      </c>
      <c r="O57" s="10" t="inlineStr">
        <is>
          <t>plus de 5 000 participants et 109 exposants</t>
        </is>
      </c>
      <c r="P57" s="10" t="inlineStr">
        <is>
          <t>ESTIME</t>
        </is>
      </c>
      <c r="Q57" s="11" t="inlineStr">
        <is>
          <t>Chiffres relayes par des sources tierces (salonsenfrance.fr, lotexpo.com) pour l'edition 2026 ; non verifies sur le site officiel</t>
        </is>
      </c>
      <c r="R57" s="10" t="inlineStr">
        <is>
          <t>inscription libre</t>
        </is>
      </c>
      <c r="S57" s="10" t="inlineStr">
        <is>
          <t>oui</t>
        </is>
      </c>
      <c r="T57" s="11" t="inlineStr">
        <is>
          <t>Salon reserve aux professionnels de la renovation</t>
        </is>
      </c>
      <c r="U57" s="10" t="inlineStr">
        <is>
          <t>non identifié publiquement</t>
        </is>
      </c>
      <c r="V57" s="10" t="inlineStr">
        <is>
          <t>https://www.cci-paris-idf.fr/fr/evenements-salons/salons-foires-paris-ile-de-france/renodays</t>
        </is>
      </c>
      <c r="W57" s="10" t="inlineStr">
        <is>
          <t>2026-09-15</t>
        </is>
      </c>
      <c r="X57" s="11" t="inlineStr">
        <is>
          <t>La fiche CCI le classe 'ouvert au public' ; les sources concordantes et le site officiel renodays.com le presentent comme reserve aux professionnels. Ecart de source signale. Co-localise avec Batimat (Paris Builders Show).</t>
        </is>
      </c>
      <c r="Y57" s="7" t="inlineStr">
        <is>
          <t>2</t>
        </is>
      </c>
      <c r="Z57" s="7" t="inlineStr">
        <is>
          <t>Immobilier / Construction / BTP</t>
        </is>
      </c>
      <c r="AA57" s="7" t="inlineStr"/>
      <c r="AB57" s="7" t="inlineStr">
        <is>
          <t>6</t>
        </is>
      </c>
      <c r="AC57" s="7" t="inlineStr">
        <is>
          <t>4|3</t>
        </is>
      </c>
      <c r="AD57" s="7" t="inlineStr">
        <is>
          <t>2</t>
        </is>
      </c>
      <c r="AE57" s="7" t="inlineStr">
        <is>
          <t>0</t>
        </is>
      </c>
      <c r="AF57" s="7" t="inlineStr">
        <is>
          <t>Générique / Multi-éditeurs / Sans dominante</t>
        </is>
      </c>
      <c r="AG57" s="8" t="inlineStr">
        <is>
          <t>estimé</t>
        </is>
      </c>
      <c r="AH57" s="12" t="inlineStr">
        <is>
          <t>Aucune dimension logicielle dans le positionnement de l'organisateur : rattache au 0 (sans dominante) plutot que laisse vide, conformement a la demande de non-vide</t>
        </is>
      </c>
      <c r="AI57" s="7" t="inlineStr">
        <is>
          <t>6</t>
        </is>
      </c>
      <c r="AJ57" s="7" t="inlineStr">
        <is>
          <t>&gt;2000</t>
        </is>
      </c>
      <c r="AK57" s="7" t="inlineStr">
        <is>
          <t>constaté</t>
        </is>
      </c>
      <c r="AL57" s="7" t="inlineStr">
        <is>
          <t>plus de 5 000 participants et 109 exposants</t>
        </is>
      </c>
      <c r="AM57" s="11" t="inlineStr">
        <is>
          <t>Chiffre publie par l'organisateur (colonne taille_source)</t>
        </is>
      </c>
      <c r="AN57" s="7" t="inlineStr">
        <is>
          <t>haute</t>
        </is>
      </c>
      <c r="AO57" s="7" t="inlineStr">
        <is>
          <t>4|3</t>
        </is>
      </c>
      <c r="AP57" s="7" t="inlineStr">
        <is>
          <t>Partenaires / Prescripteurs / Consultants / Intégrateurs + Opérationnels / Utilisateurs métier</t>
        </is>
      </c>
      <c r="AQ57" s="7" t="inlineStr">
        <is>
          <t>constaté</t>
        </is>
      </c>
      <c r="AR57" s="12" t="inlineStr"/>
      <c r="AS57" s="7" t="inlineStr">
        <is>
          <t>2</t>
        </is>
      </c>
      <c r="AT57" s="7" t="inlineStr">
        <is>
          <t>Moyen</t>
        </is>
      </c>
      <c r="AU57" s="7" t="inlineStr">
        <is>
          <t>constaté</t>
        </is>
      </c>
      <c r="AV57" s="12" t="inlineStr"/>
      <c r="AW57" s="7" t="inlineStr">
        <is>
          <t>S:2 L:0 N:6 P:4|3 A:2</t>
        </is>
      </c>
    </row>
    <row r="58">
      <c r="A58" s="10" t="inlineStr">
        <is>
          <t>Tech Summit on Artificial Intelligence &amp; Robotics</t>
        </is>
      </c>
      <c r="B58" s="10" t="inlineStr">
        <is>
          <t>Aver Conferences</t>
        </is>
      </c>
      <c r="C58" s="10" t="inlineStr">
        <is>
          <t>2026-09-28</t>
        </is>
      </c>
      <c r="D58" s="10" t="inlineStr">
        <is>
          <t>2026-09-29</t>
        </is>
      </c>
      <c r="E58" s="10" t="inlineStr"/>
      <c r="F58" s="10" t="inlineStr">
        <is>
          <t>non identifié publiquement</t>
        </is>
      </c>
      <c r="G58" s="10" t="inlineStr">
        <is>
          <t>Novotel Paris La Defense Esplanade</t>
        </is>
      </c>
      <c r="H58" s="10" t="inlineStr">
        <is>
          <t>Puteaux</t>
        </is>
      </c>
      <c r="I58" s="10" t="inlineStr">
        <is>
          <t>92</t>
        </is>
      </c>
      <c r="J58" s="10" t="inlineStr">
        <is>
          <t>présentiel</t>
        </is>
      </c>
      <c r="K58" s="11" t="inlineStr">
        <is>
          <t>Tech Summit IA &amp; Robotics à Paris, 28 septembre 2026. Conférence B2B pour chercheurs, académiques et professionnels du secteur tech.</t>
        </is>
      </c>
      <c r="L58" s="11" t="inlineStr">
        <is>
          <t>non identifié publiquement</t>
        </is>
      </c>
      <c r="M58" s="10" t="inlineStr">
        <is>
          <t>Numerique, informatique, technologies</t>
        </is>
      </c>
      <c r="N58" s="10" t="inlineStr">
        <is>
          <t>Tech Summit on Artificial Intelligence &amp; Robotics - Tech Summit IA &amp; Robotics à Paris, 28 septembre 2026. Conférence B2B pour chercheurs, académiques et professio</t>
        </is>
      </c>
      <c r="O58" s="10" t="inlineStr">
        <is>
          <t>non identifié publiquement</t>
        </is>
      </c>
      <c r="P58" s="10" t="inlineStr"/>
      <c r="Q58" s="11" t="inlineStr"/>
      <c r="R58" s="10" t="inlineStr">
        <is>
          <t>non identifié publiquement</t>
        </is>
      </c>
      <c r="S58" s="10" t="inlineStr">
        <is>
          <t>non</t>
        </is>
      </c>
      <c r="T58" s="11" t="inlineStr"/>
      <c r="U58" s="10" t="inlineStr">
        <is>
          <t>non identifié publiquement</t>
        </is>
      </c>
      <c r="V58" s="10" t="inlineStr">
        <is>
          <t>https://www.agenda-tech.com/events/tech-summit-on-artificial-intelligence-robotics-2026</t>
        </is>
      </c>
      <c r="W58" s="10" t="inlineStr">
        <is>
          <t>2026-09-15</t>
        </is>
      </c>
      <c r="X58" s="11" t="inlineStr">
        <is>
          <t>Identifie via l'agregateur specialise Agenda Tech (donnees structurees schema.org publiees par l'organisateur).</t>
        </is>
      </c>
      <c r="Y58" s="7" t="inlineStr">
        <is>
          <t>16|4</t>
        </is>
      </c>
      <c r="Z58" s="7" t="inlineStr">
        <is>
          <t>IA / Intelligence artificielle + Tech / IT / Logiciels / Télécom</t>
        </is>
      </c>
      <c r="AA58" s="7" t="inlineStr">
        <is>
          <t>11</t>
        </is>
      </c>
      <c r="AB58" s="7" t="inlineStr"/>
      <c r="AC58" s="7" t="inlineStr">
        <is>
          <t>7</t>
        </is>
      </c>
      <c r="AD58" s="7" t="inlineStr"/>
      <c r="AE58" s="7" t="inlineStr">
        <is>
          <t>11</t>
        </is>
      </c>
      <c r="AF58" s="7" t="inlineStr">
        <is>
          <t>IA / Automatisation / No-code / Low-code</t>
        </is>
      </c>
      <c r="AG58" s="7" t="inlineStr">
        <is>
          <t>déduit</t>
        </is>
      </c>
      <c r="AH58" s="12" t="inlineStr">
        <is>
          <t>Deduit du secteur (axe 1)</t>
        </is>
      </c>
      <c r="AI58" s="7" t="inlineStr">
        <is>
          <t>4</t>
        </is>
      </c>
      <c r="AJ58" s="7" t="inlineStr">
        <is>
          <t>121-400</t>
        </is>
      </c>
      <c r="AK58" s="8" t="inlineStr">
        <is>
          <t>estimé</t>
        </is>
      </c>
      <c r="AL58" s="7" t="inlineStr">
        <is>
          <t>estimation : 150 a 500 participants</t>
        </is>
      </c>
      <c r="AM58" s="11" t="inlineStr">
        <is>
          <t>Modele de format (sommet de dirigeants sur invitation), fourchette 150-500, plafonnee par la capacite du lieu (Novotel Paris La Defense Esplanade ~ 600)</t>
        </is>
      </c>
      <c r="AN58" s="7" t="inlineStr">
        <is>
          <t>moyenne</t>
        </is>
      </c>
      <c r="AO58" s="7" t="inlineStr">
        <is>
          <t>7</t>
        </is>
      </c>
      <c r="AP58" s="7" t="inlineStr">
        <is>
          <t>Experts / Advisors / Associations professionnelles</t>
        </is>
      </c>
      <c r="AQ58" s="7" t="inlineStr">
        <is>
          <t>constaté</t>
        </is>
      </c>
      <c r="AR58" s="12" t="inlineStr"/>
      <c r="AS58" s="7" t="inlineStr">
        <is>
          <t>2</t>
        </is>
      </c>
      <c r="AT58" s="7" t="inlineStr">
        <is>
          <t>Moyen</t>
        </is>
      </c>
      <c r="AU58" s="8" t="inlineStr">
        <is>
          <t>estimé</t>
        </is>
      </c>
      <c r="AV58" s="12" t="inlineStr">
        <is>
          <t>Billetterie en vente libre (mention 'Voir tarifs sur le site' chez Agenda Tech), sans gratuite confirmee</t>
        </is>
      </c>
      <c r="AW58" s="7" t="inlineStr">
        <is>
          <t>S:16|4 L:11 N:4 P:7 A:2</t>
        </is>
      </c>
    </row>
    <row r="59">
      <c r="A59" s="10" t="inlineStr">
        <is>
          <t>Cheffes &amp; Dirigeantes - Dejeuner Inspirations (29 septembre 2026)</t>
        </is>
      </c>
      <c r="B59" s="10" t="inlineStr">
        <is>
          <t>CPME Paris - Les Entrepreneurs Paris</t>
        </is>
      </c>
      <c r="C59" s="10" t="inlineStr">
        <is>
          <t>2026-09-29</t>
        </is>
      </c>
      <c r="D59" s="10" t="inlineStr"/>
      <c r="E59" s="10" t="inlineStr"/>
      <c r="F59" s="10" t="inlineStr">
        <is>
          <t>mensuel</t>
        </is>
      </c>
      <c r="G59" s="10" t="inlineStr">
        <is>
          <t>Flora Danica</t>
        </is>
      </c>
      <c r="H59" s="10" t="inlineStr">
        <is>
          <t>non identifié publiquement</t>
        </is>
      </c>
      <c r="I59" s="10" t="inlineStr">
        <is>
          <t>75</t>
        </is>
      </c>
      <c r="J59" s="10" t="inlineStr">
        <is>
          <t>présentiel</t>
        </is>
      </c>
      <c r="K59" s="11" t="inlineStr">
        <is>
          <t>Dejeuner mensuel de dirigeantes en presence de femmes inspirantes, de 12h a 14h.</t>
        </is>
      </c>
      <c r="L59" s="11" t="inlineStr">
        <is>
          <t>dirigeants et entrepreneurs adherents ou invites de la CPME Paris</t>
        </is>
      </c>
      <c r="M59" s="10" t="inlineStr">
        <is>
          <t>Tous secteurs (organisation patronale interprofessionnelle)</t>
        </is>
      </c>
      <c r="N59" s="10" t="inlineStr">
        <is>
          <t>non identifié publiquement</t>
        </is>
      </c>
      <c r="O59" s="10" t="inlineStr">
        <is>
          <t>non identifié publiquement</t>
        </is>
      </c>
      <c r="P59" s="10" t="inlineStr"/>
      <c r="Q59" s="11" t="inlineStr"/>
      <c r="R59" s="10" t="inlineStr">
        <is>
          <t>réservé adhérents</t>
        </is>
      </c>
      <c r="S59" s="10" t="inlineStr">
        <is>
          <t>oui</t>
        </is>
      </c>
      <c r="T59" s="11" t="inlineStr">
        <is>
          <t>Evenement d'organisation patronale, oriente adherents CPME Paris</t>
        </is>
      </c>
      <c r="U59" s="10" t="inlineStr">
        <is>
          <t>non identifié publiquement</t>
        </is>
      </c>
      <c r="V59" s="10" t="inlineStr">
        <is>
          <t>https://cpmeparis.fr/agenda/</t>
        </is>
      </c>
      <c r="W59" s="10" t="inlineStr">
        <is>
          <t>2026-09-15</t>
        </is>
      </c>
      <c r="X59" s="11" t="inlineStr">
        <is>
          <t>Format mensuel selon l'organisateur. Adresse du restaurant Flora Danica non communiquee sur la fiche.</t>
        </is>
      </c>
      <c r="Y59" s="7" t="inlineStr">
        <is>
          <t>0</t>
        </is>
      </c>
      <c r="Z59" s="7" t="inlineStr">
        <is>
          <t>Générique / Transversal</t>
        </is>
      </c>
      <c r="AA59" s="7" t="inlineStr"/>
      <c r="AB59" s="7" t="inlineStr"/>
      <c r="AC59" s="7" t="inlineStr">
        <is>
          <t>1</t>
        </is>
      </c>
      <c r="AD59" s="7" t="inlineStr">
        <is>
          <t>2</t>
        </is>
      </c>
      <c r="AE59" s="7" t="inlineStr">
        <is>
          <t>0</t>
        </is>
      </c>
      <c r="AF59" s="7" t="inlineStr">
        <is>
          <t>Générique / Multi-éditeurs / Sans dominante</t>
        </is>
      </c>
      <c r="AG59" s="8" t="inlineStr">
        <is>
          <t>estimé</t>
        </is>
      </c>
      <c r="AH59" s="12" t="inlineStr">
        <is>
          <t>Aucune dimension logicielle dans le positionnement de l'organisateur : rattache au 0 (sans dominante) plutot que laisse vide, conformement a la demande de non-vide</t>
        </is>
      </c>
      <c r="AI59" s="7" t="inlineStr">
        <is>
          <t>2</t>
        </is>
      </c>
      <c r="AJ59" s="7" t="inlineStr">
        <is>
          <t>16-40</t>
        </is>
      </c>
      <c r="AK59" s="8" t="inlineStr">
        <is>
          <t>estimé</t>
        </is>
      </c>
      <c r="AL59" s="7" t="inlineStr">
        <is>
          <t>estimation : 20 a 60 participants</t>
        </is>
      </c>
      <c r="AM59" s="11" t="inlineStr">
        <is>
          <t>Modele de format (dejeuner, cercle ou club de dirigeants), fourchette 20-60, plafonnee par la capacite du lieu (Flora Danica ~ 120)</t>
        </is>
      </c>
      <c r="AN59" s="7" t="inlineStr">
        <is>
          <t>moyenne</t>
        </is>
      </c>
      <c r="AO59" s="7" t="inlineStr">
        <is>
          <t>1</t>
        </is>
      </c>
      <c r="AP59" s="7" t="inlineStr">
        <is>
          <t>Décideurs PME/ETI</t>
        </is>
      </c>
      <c r="AQ59" s="7" t="inlineStr">
        <is>
          <t>constaté</t>
        </is>
      </c>
      <c r="AR59" s="12" t="inlineStr"/>
      <c r="AS59" s="7" t="inlineStr">
        <is>
          <t>2</t>
        </is>
      </c>
      <c r="AT59" s="7" t="inlineStr">
        <is>
          <t>Moyen</t>
        </is>
      </c>
      <c r="AU59" s="7" t="inlineStr">
        <is>
          <t>constaté</t>
        </is>
      </c>
      <c r="AV59" s="12" t="inlineStr"/>
      <c r="AW59" s="7" t="inlineStr">
        <is>
          <t>S:0 L:0 N:2 P:1 A:2</t>
        </is>
      </c>
    </row>
    <row r="60">
      <c r="A60" s="10" t="inlineStr">
        <is>
          <t>Financer l'export autrement</t>
        </is>
      </c>
      <c r="B60" s="10" t="inlineStr">
        <is>
          <t>CCI Paris Ile-de-France</t>
        </is>
      </c>
      <c r="C60" s="10" t="inlineStr">
        <is>
          <t>2026-09-29</t>
        </is>
      </c>
      <c r="D60" s="10" t="inlineStr"/>
      <c r="E60" s="10" t="inlineStr"/>
      <c r="F60" s="10" t="inlineStr">
        <is>
          <t>non identifié publiquement</t>
        </is>
      </c>
      <c r="G60" s="10" t="inlineStr">
        <is>
          <t>ESSEC Executive Education, Westfield CNIT, 2 place de La Defense</t>
        </is>
      </c>
      <c r="H60" s="10" t="inlineStr">
        <is>
          <t>Puteaux</t>
        </is>
      </c>
      <c r="I60" s="10" t="inlineStr">
        <is>
          <t>92</t>
        </is>
      </c>
      <c r="J60" s="10" t="inlineStr">
        <is>
          <t>présentiel</t>
        </is>
      </c>
      <c r="K60" s="11" t="inlineStr">
        <is>
          <t>Conference sur les solutions de financement de l'export.</t>
        </is>
      </c>
      <c r="L60" s="11" t="inlineStr">
        <is>
          <t>non identifié publiquement</t>
        </is>
      </c>
      <c r="M60" s="10" t="inlineStr">
        <is>
          <t>International, financement</t>
        </is>
      </c>
      <c r="N60" s="10" t="inlineStr">
        <is>
          <t>non identifié publiquement</t>
        </is>
      </c>
      <c r="O60" s="10" t="inlineStr">
        <is>
          <t>non identifié publiquement</t>
        </is>
      </c>
      <c r="P60" s="10" t="inlineStr"/>
      <c r="Q60" s="11" t="inlineStr"/>
      <c r="R60" s="10" t="inlineStr">
        <is>
          <t>inscription libre</t>
        </is>
      </c>
      <c r="S60" s="10" t="inlineStr">
        <is>
          <t>non</t>
        </is>
      </c>
      <c r="T60" s="11" t="inlineStr"/>
      <c r="U60" s="10" t="inlineStr">
        <is>
          <t>non identifié publiquement</t>
        </is>
      </c>
      <c r="V60" s="10" t="inlineStr">
        <is>
          <t>https://www.entreprises.cci-paris-idf.fr/evenements/financer-lexport-autrement</t>
        </is>
      </c>
      <c r="W60" s="10" t="inlineStr">
        <is>
          <t>2026-09-15</t>
        </is>
      </c>
      <c r="X60" s="11" t="inlineStr"/>
      <c r="Y60" s="7" t="inlineStr">
        <is>
          <t>8</t>
        </is>
      </c>
      <c r="Z60" s="7" t="inlineStr">
        <is>
          <t>Finance / Banque / Assurance</t>
        </is>
      </c>
      <c r="AA60" s="7" t="inlineStr"/>
      <c r="AB60" s="7" t="inlineStr"/>
      <c r="AC60" s="7" t="inlineStr"/>
      <c r="AD60" s="7" t="inlineStr">
        <is>
          <t>2</t>
        </is>
      </c>
      <c r="AE60" s="7" t="inlineStr">
        <is>
          <t>0</t>
        </is>
      </c>
      <c r="AF60" s="7" t="inlineStr">
        <is>
          <t>Générique / Multi-éditeurs / Sans dominante</t>
        </is>
      </c>
      <c r="AG60" s="8" t="inlineStr">
        <is>
          <t>estimé</t>
        </is>
      </c>
      <c r="AH60" s="12" t="inlineStr">
        <is>
          <t>Aucune dimension logicielle dans le positionnement de l'organisateur : rattache au 0 (sans dominante) plutot que laisse vide, conformement a la demande de non-vide</t>
        </is>
      </c>
      <c r="AI60" s="7" t="inlineStr">
        <is>
          <t>4</t>
        </is>
      </c>
      <c r="AJ60" s="7" t="inlineStr">
        <is>
          <t>121-400</t>
        </is>
      </c>
      <c r="AK60" s="8" t="inlineStr">
        <is>
          <t>estimé</t>
        </is>
      </c>
      <c r="AL60" s="7" t="inlineStr">
        <is>
          <t>estimation : 200 a 800 participants</t>
        </is>
      </c>
      <c r="AM60" s="11" t="inlineStr">
        <is>
          <t>Modele de format (conference technique ou sectorielle), fourchette 200-800, plafonnee par la capacite du lieu (ESSEC Executive Education, Westfield CNI ~ 2500)</t>
        </is>
      </c>
      <c r="AN60" s="7" t="inlineStr">
        <is>
          <t>moyenne</t>
        </is>
      </c>
      <c r="AO60" s="7" t="inlineStr">
        <is>
          <t>1</t>
        </is>
      </c>
      <c r="AP60" s="7" t="inlineStr">
        <is>
          <t>Décideurs PME/ETI</t>
        </is>
      </c>
      <c r="AQ60" s="8" t="inlineStr">
        <is>
          <t>estimé</t>
        </is>
      </c>
      <c r="AR60" s="12" t="inlineStr">
        <is>
          <t>Organisateur CCI : public cible structurel de dirigeants et collaborateurs de TPE-PME</t>
        </is>
      </c>
      <c r="AS60" s="7" t="inlineStr">
        <is>
          <t>2</t>
        </is>
      </c>
      <c r="AT60" s="7" t="inlineStr">
        <is>
          <t>Moyen</t>
        </is>
      </c>
      <c r="AU60" s="7" t="inlineStr">
        <is>
          <t>constaté</t>
        </is>
      </c>
      <c r="AV60" s="12" t="inlineStr"/>
      <c r="AW60" s="7" t="inlineStr">
        <is>
          <t>S:8 L:0 N:4 P:1 A:2</t>
        </is>
      </c>
    </row>
    <row r="61">
      <c r="A61" s="10" t="inlineStr">
        <is>
          <t>Genopole Partnering Week 2026</t>
        </is>
      </c>
      <c r="B61" s="10" t="inlineStr">
        <is>
          <t>Genopole</t>
        </is>
      </c>
      <c r="C61" s="10" t="inlineStr">
        <is>
          <t>2026-09-29</t>
        </is>
      </c>
      <c r="D61" s="10" t="inlineStr">
        <is>
          <t>2026-10-01</t>
        </is>
      </c>
      <c r="E61" s="10" t="inlineStr"/>
      <c r="F61" s="10" t="inlineStr">
        <is>
          <t>non identifié publiquement</t>
        </is>
      </c>
      <c r="G61" s="10" t="inlineStr">
        <is>
          <t>Campus Genopole</t>
        </is>
      </c>
      <c r="H61" s="10" t="inlineStr">
        <is>
          <t>Evry-Courcouronnes</t>
        </is>
      </c>
      <c r="I61" s="10" t="inlineStr">
        <is>
          <t>91</t>
        </is>
      </c>
      <c r="J61" s="10" t="inlineStr">
        <is>
          <t>présentiel</t>
        </is>
      </c>
      <c r="K61" s="11" t="inlineStr">
        <is>
          <t>Deux jours dedies a l'innovation biotech : rencontre de plus de 40 pepites accelerees a Genopole, visites de startups et tables rondes.</t>
        </is>
      </c>
      <c r="L61" s="11" t="inlineStr">
        <is>
          <t>Grands comptes et investisseurs en biotech</t>
        </is>
      </c>
      <c r="M61" s="10" t="inlineStr">
        <is>
          <t>Biotechnologies, sante, genomique</t>
        </is>
      </c>
      <c r="N61" s="10" t="inlineStr">
        <is>
          <t>non identifié publiquement</t>
        </is>
      </c>
      <c r="O61" s="10" t="inlineStr">
        <is>
          <t>non identifié publiquement</t>
        </is>
      </c>
      <c r="P61" s="10" t="inlineStr"/>
      <c r="Q61" s="11" t="inlineStr"/>
      <c r="R61" s="10" t="inlineStr">
        <is>
          <t>inscription libre</t>
        </is>
      </c>
      <c r="S61" s="10" t="inlineStr">
        <is>
          <t>non</t>
        </is>
      </c>
      <c r="T61" s="11" t="inlineStr"/>
      <c r="U61" s="10" t="inlineStr">
        <is>
          <t>non identifié publiquement</t>
        </is>
      </c>
      <c r="V61" s="10" t="inlineStr">
        <is>
          <t>https://www.genopole.fr/agenda/</t>
        </is>
      </c>
      <c r="W61" s="10" t="inlineStr">
        <is>
          <t>2026-09-15</t>
        </is>
      </c>
      <c r="X61" s="11" t="inlineStr">
        <is>
          <t>Intitule de l'agenda : '29 septembre et 1er octobre - Genopole Partnering Week 2026'. Formulation ambigue (deux journees non consecutives ou periode du 29 septembre au 1er octobre) : plage retenue, ambiguite signalee. Public annonce grands comptes et investisseurs.</t>
        </is>
      </c>
      <c r="Y61" s="7" t="inlineStr">
        <is>
          <t>7</t>
        </is>
      </c>
      <c r="Z61" s="7" t="inlineStr">
        <is>
          <t>Santé / Pharma / Biotech / Medtech</t>
        </is>
      </c>
      <c r="AA61" s="7" t="inlineStr"/>
      <c r="AB61" s="7" t="inlineStr"/>
      <c r="AC61" s="7" t="inlineStr">
        <is>
          <t>2|6</t>
        </is>
      </c>
      <c r="AD61" s="7" t="inlineStr">
        <is>
          <t>2</t>
        </is>
      </c>
      <c r="AE61" s="7" t="inlineStr">
        <is>
          <t>0</t>
        </is>
      </c>
      <c r="AF61" s="7" t="inlineStr">
        <is>
          <t>Générique / Multi-éditeurs / Sans dominante</t>
        </is>
      </c>
      <c r="AG61" s="8" t="inlineStr">
        <is>
          <t>estimé</t>
        </is>
      </c>
      <c r="AH61" s="12" t="inlineStr">
        <is>
          <t>Aucune dimension logicielle dans le positionnement de l'organisateur : rattache au 0 (sans dominante) plutot que laisse vide, conformement a la demande de non-vide</t>
        </is>
      </c>
      <c r="AI61" s="7" t="inlineStr">
        <is>
          <t>3</t>
        </is>
      </c>
      <c r="AJ61" s="7" t="inlineStr">
        <is>
          <t>41-120</t>
        </is>
      </c>
      <c r="AK61" s="8" t="inlineStr">
        <is>
          <t>estimé</t>
        </is>
      </c>
      <c r="AL61" s="7" t="inlineStr">
        <is>
          <t>estimation : 50 a 250 participants</t>
        </is>
      </c>
      <c r="AM61" s="11" t="inlineStr">
        <is>
          <t>Modele de format (rendez-vous de pole de competitivite ou de cluster), fourchette 50-250, plafonnee par la capacite du lieu (Campus Genopole ~ 400)</t>
        </is>
      </c>
      <c r="AN61" s="7" t="inlineStr">
        <is>
          <t>moyenne</t>
        </is>
      </c>
      <c r="AO61" s="7" t="inlineStr">
        <is>
          <t>2|6</t>
        </is>
      </c>
      <c r="AP61" s="7" t="inlineStr">
        <is>
          <t>Décideurs Grands comptes + Investisseurs / Écosystème financement</t>
        </is>
      </c>
      <c r="AQ61" s="7" t="inlineStr">
        <is>
          <t>constaté</t>
        </is>
      </c>
      <c r="AR61" s="12" t="inlineStr"/>
      <c r="AS61" s="7" t="inlineStr">
        <is>
          <t>2</t>
        </is>
      </c>
      <c r="AT61" s="7" t="inlineStr">
        <is>
          <t>Moyen</t>
        </is>
      </c>
      <c r="AU61" s="7" t="inlineStr">
        <is>
          <t>constaté</t>
        </is>
      </c>
      <c r="AV61" s="12" t="inlineStr"/>
      <c r="AW61" s="7" t="inlineStr">
        <is>
          <t>S:7 L:0 N:3 P:2|6 A:2</t>
        </is>
      </c>
    </row>
    <row r="62">
      <c r="A62" s="10" t="inlineStr">
        <is>
          <t>Le pacte d'associes : les cles d'une association durable</t>
        </is>
      </c>
      <c r="B62" s="10" t="inlineStr">
        <is>
          <t>CPME Paris - Les Entrepreneurs Paris</t>
        </is>
      </c>
      <c r="C62" s="10" t="inlineStr">
        <is>
          <t>2026-09-29</t>
        </is>
      </c>
      <c r="D62" s="10" t="inlineStr"/>
      <c r="E62" s="10" t="inlineStr"/>
      <c r="F62" s="10" t="inlineStr">
        <is>
          <t>non identifié publiquement</t>
        </is>
      </c>
      <c r="G62" s="10" t="inlineStr">
        <is>
          <t>Les Entrepreneurs Paris (CPME Paris), 19 rue de l'Amiral d'Estaing</t>
        </is>
      </c>
      <c r="H62" s="10" t="inlineStr">
        <is>
          <t>Paris 16e</t>
        </is>
      </c>
      <c r="I62" s="10" t="inlineStr">
        <is>
          <t>75</t>
        </is>
      </c>
      <c r="J62" s="10" t="inlineStr">
        <is>
          <t>présentiel</t>
        </is>
      </c>
      <c r="K62" s="11" t="inlineStr">
        <is>
          <t>Pour les dirigeants d’entreprise, principalement de TPE-PME, la qualité de la relation entre associés est un facteur déterminant de la pérennité et du développement de l'entreprise. Cet atelier vous a</t>
        </is>
      </c>
      <c r="L62" s="11" t="inlineStr">
        <is>
          <t>dirigeants et entrepreneurs adherents ou invites de la CPME Paris</t>
        </is>
      </c>
      <c r="M62" s="10" t="inlineStr">
        <is>
          <t>Juridique, gouvernance</t>
        </is>
      </c>
      <c r="N62" s="10" t="inlineStr">
        <is>
          <t>non identifié publiquement</t>
        </is>
      </c>
      <c r="O62" s="10" t="inlineStr">
        <is>
          <t>non identifié publiquement</t>
        </is>
      </c>
      <c r="P62" s="10" t="inlineStr"/>
      <c r="Q62" s="11" t="inlineStr"/>
      <c r="R62" s="10" t="inlineStr">
        <is>
          <t>réservé adhérents</t>
        </is>
      </c>
      <c r="S62" s="10" t="inlineStr">
        <is>
          <t>oui</t>
        </is>
      </c>
      <c r="T62" s="11" t="inlineStr">
        <is>
          <t>Evenement d'organisation patronale, oriente adherents CPME Paris</t>
        </is>
      </c>
      <c r="U62" s="10" t="inlineStr">
        <is>
          <t>non identifié publiquement</t>
        </is>
      </c>
      <c r="V62" s="10" t="inlineStr">
        <is>
          <t>https://cpmeparis.fr/agenda/</t>
        </is>
      </c>
      <c r="W62" s="10" t="inlineStr">
        <is>
          <t>2026-09-15</t>
        </is>
      </c>
      <c r="X62" s="11" t="inlineStr">
        <is>
          <t>Identifie via l'agenda public de la CPME Paris (Les Entrepreneurs Paris). Adresse du siege : 19 rue de l'Amiral d'Estaing, 75016 Paris.</t>
        </is>
      </c>
      <c r="Y62" s="7" t="inlineStr">
        <is>
          <t>9</t>
        </is>
      </c>
      <c r="Z62" s="7" t="inlineStr">
        <is>
          <t>Services professionnels / Conseil / Juridique / Comptabilité</t>
        </is>
      </c>
      <c r="AA62" s="7" t="inlineStr"/>
      <c r="AB62" s="7" t="inlineStr"/>
      <c r="AC62" s="7" t="inlineStr">
        <is>
          <t>1</t>
        </is>
      </c>
      <c r="AD62" s="7" t="inlineStr">
        <is>
          <t>2</t>
        </is>
      </c>
      <c r="AE62" s="7" t="inlineStr">
        <is>
          <t>0</t>
        </is>
      </c>
      <c r="AF62" s="7" t="inlineStr">
        <is>
          <t>Générique / Multi-éditeurs / Sans dominante</t>
        </is>
      </c>
      <c r="AG62" s="8" t="inlineStr">
        <is>
          <t>estimé</t>
        </is>
      </c>
      <c r="AH62" s="12" t="inlineStr">
        <is>
          <t>Aucune dimension logicielle dans le positionnement de l'organisateur : rattache au 0 (sans dominante) plutot que laisse vide, conformement a la demande de non-vide</t>
        </is>
      </c>
      <c r="AI62" s="7" t="inlineStr">
        <is>
          <t>3</t>
        </is>
      </c>
      <c r="AJ62" s="7" t="inlineStr">
        <is>
          <t>41-120</t>
        </is>
      </c>
      <c r="AK62" s="8" t="inlineStr">
        <is>
          <t>estimé</t>
        </is>
      </c>
      <c r="AL62" s="7" t="inlineStr">
        <is>
          <t>estimation : 25 a 80 participants</t>
        </is>
      </c>
      <c r="AM62" s="11" t="inlineStr">
        <is>
          <t>Modele de format (rendez-vous d'organisation patronale), fourchette 25-80</t>
        </is>
      </c>
      <c r="AN62" s="7" t="inlineStr">
        <is>
          <t>moyenne</t>
        </is>
      </c>
      <c r="AO62" s="7" t="inlineStr">
        <is>
          <t>1</t>
        </is>
      </c>
      <c r="AP62" s="7" t="inlineStr">
        <is>
          <t>Décideurs PME/ETI</t>
        </is>
      </c>
      <c r="AQ62" s="7" t="inlineStr">
        <is>
          <t>constaté</t>
        </is>
      </c>
      <c r="AR62" s="12" t="inlineStr"/>
      <c r="AS62" s="7" t="inlineStr">
        <is>
          <t>2</t>
        </is>
      </c>
      <c r="AT62" s="7" t="inlineStr">
        <is>
          <t>Moyen</t>
        </is>
      </c>
      <c r="AU62" s="7" t="inlineStr">
        <is>
          <t>constaté</t>
        </is>
      </c>
      <c r="AV62" s="12" t="inlineStr"/>
      <c r="AW62" s="7" t="inlineStr">
        <is>
          <t>S:9 L:0 N:3 P:1 A:2</t>
        </is>
      </c>
    </row>
    <row r="63">
      <c r="A63" s="10" t="inlineStr">
        <is>
          <t>Trend’up : les tendances tech décryptées</t>
        </is>
      </c>
      <c r="B63" s="10" t="inlineStr">
        <is>
          <t>BPI</t>
        </is>
      </c>
      <c r="C63" s="10" t="inlineStr">
        <is>
          <t>2026-09-29</t>
        </is>
      </c>
      <c r="D63" s="10" t="inlineStr"/>
      <c r="E63" s="10" t="inlineStr"/>
      <c r="F63" s="10" t="inlineStr">
        <is>
          <t>non identifié publiquement</t>
        </is>
      </c>
      <c r="G63" s="10" t="inlineStr">
        <is>
          <t>6 Bd Haussmann Paris</t>
        </is>
      </c>
      <c r="H63" s="10" t="inlineStr">
        <is>
          <t>Paris (arrondissement selon le lieu)</t>
        </is>
      </c>
      <c r="I63" s="10" t="inlineStr">
        <is>
          <t>75</t>
        </is>
      </c>
      <c r="J63" s="10" t="inlineStr">
        <is>
          <t>présentiel</t>
        </is>
      </c>
      <c r="K63" s="11" t="inlineStr">
        <is>
          <t>Trend'up le 29 septembre 2026 à Paris. Conférence sur les tendances technologiques organisée par Bpifrance. De 08h30 à 10h00.</t>
        </is>
      </c>
      <c r="L63" s="11" t="inlineStr">
        <is>
          <t>non identifié publiquement</t>
        </is>
      </c>
      <c r="M63" s="10" t="inlineStr">
        <is>
          <t>Numerique, informatique, technologies</t>
        </is>
      </c>
      <c r="N63" s="10" t="inlineStr">
        <is>
          <t>non identifié publiquement</t>
        </is>
      </c>
      <c r="O63" s="10" t="inlineStr">
        <is>
          <t>non identifié publiquement</t>
        </is>
      </c>
      <c r="P63" s="10" t="inlineStr"/>
      <c r="Q63" s="11" t="inlineStr"/>
      <c r="R63" s="10" t="inlineStr">
        <is>
          <t>non identifié publiquement</t>
        </is>
      </c>
      <c r="S63" s="10" t="inlineStr">
        <is>
          <t>non</t>
        </is>
      </c>
      <c r="T63" s="11" t="inlineStr"/>
      <c r="U63" s="10" t="inlineStr">
        <is>
          <t>non identifié publiquement</t>
        </is>
      </c>
      <c r="V63" s="10" t="inlineStr">
        <is>
          <t>https://www.agenda-tech.com/events/simplanter-aux-us-2026</t>
        </is>
      </c>
      <c r="W63" s="10" t="inlineStr">
        <is>
          <t>2026-09-15</t>
        </is>
      </c>
      <c r="X63" s="11" t="inlineStr">
        <is>
          <t>Identifie via l'agregateur specialise Agenda Tech (donnees structurees schema.org publiees par l'organisateur).</t>
        </is>
      </c>
      <c r="Y63" s="7" t="inlineStr">
        <is>
          <t>4</t>
        </is>
      </c>
      <c r="Z63" s="7" t="inlineStr">
        <is>
          <t>Tech / IT / Logiciels / Télécom</t>
        </is>
      </c>
      <c r="AA63" s="7" t="inlineStr">
        <is>
          <t>0</t>
        </is>
      </c>
      <c r="AB63" s="7" t="inlineStr"/>
      <c r="AC63" s="7" t="inlineStr"/>
      <c r="AD63" s="7" t="inlineStr"/>
      <c r="AE63" s="7" t="inlineStr">
        <is>
          <t>0</t>
        </is>
      </c>
      <c r="AF63" s="7" t="inlineStr">
        <is>
          <t>Générique / Multi-éditeurs / Sans dominante</t>
        </is>
      </c>
      <c r="AG63" s="7" t="inlineStr">
        <is>
          <t>déduit</t>
        </is>
      </c>
      <c r="AH63" s="12" t="inlineStr">
        <is>
          <t>Deduit du secteur (axe 1)</t>
        </is>
      </c>
      <c r="AI63" s="7" t="inlineStr">
        <is>
          <t>4</t>
        </is>
      </c>
      <c r="AJ63" s="7" t="inlineStr">
        <is>
          <t>121-400</t>
        </is>
      </c>
      <c r="AK63" s="8" t="inlineStr">
        <is>
          <t>estimé</t>
        </is>
      </c>
      <c r="AL63" s="7" t="inlineStr">
        <is>
          <t>estimation : 200 a 800 participants</t>
        </is>
      </c>
      <c r="AM63" s="11" t="inlineStr">
        <is>
          <t>Modele de format (conference technique ou sectorielle), fourchette 200-800</t>
        </is>
      </c>
      <c r="AN63" s="7" t="inlineStr">
        <is>
          <t>moyenne</t>
        </is>
      </c>
      <c r="AO63" s="7" t="inlineStr">
        <is>
          <t>1</t>
        </is>
      </c>
      <c r="AP63" s="7" t="inlineStr">
        <is>
          <t>Décideurs PME/ETI</t>
        </is>
      </c>
      <c r="AQ63" s="8" t="inlineStr">
        <is>
          <t>estimé</t>
        </is>
      </c>
      <c r="AR63" s="12" t="inlineStr">
        <is>
          <t>Par defaut, evenement B2B francilien : decideurs PME/ETI</t>
        </is>
      </c>
      <c r="AS63" s="7" t="inlineStr">
        <is>
          <t>1</t>
        </is>
      </c>
      <c r="AT63" s="7" t="inlineStr">
        <is>
          <t>Facile</t>
        </is>
      </c>
      <c r="AU63" s="8" t="inlineStr">
        <is>
          <t>estimé</t>
        </is>
      </c>
      <c r="AV63" s="12" t="inlineStr">
        <is>
          <t>Tarif 'Gratuit' publie par Agenda Tech</t>
        </is>
      </c>
      <c r="AW63" s="7" t="inlineStr">
        <is>
          <t>S:4 L:0 N:4 P:1 A:1</t>
        </is>
      </c>
    </row>
    <row r="64">
      <c r="A64" s="10" t="inlineStr">
        <is>
          <t>Innov'alim 2026</t>
        </is>
      </c>
      <c r="B64" s="10" t="inlineStr">
        <is>
          <t>CCI Paris Ile-de-France</t>
        </is>
      </c>
      <c r="C64" s="10" t="inlineStr">
        <is>
          <t>2026-09-30</t>
        </is>
      </c>
      <c r="D64" s="10" t="inlineStr">
        <is>
          <t>2026-11-30</t>
        </is>
      </c>
      <c r="E64" s="10" t="inlineStr"/>
      <c r="F64" s="10" t="inlineStr">
        <is>
          <t>non identifié publiquement</t>
        </is>
      </c>
      <c r="G64" s="10" t="inlineStr">
        <is>
          <t>CCI Val-d'Oise, 35 boulevard du Port</t>
        </is>
      </c>
      <c r="H64" s="10" t="inlineStr">
        <is>
          <t>Cergy</t>
        </is>
      </c>
      <c r="I64" s="10" t="inlineStr">
        <is>
          <t>95</t>
        </is>
      </c>
      <c r="J64" s="10" t="inlineStr">
        <is>
          <t>présentiel</t>
        </is>
      </c>
      <c r="K64" s="11" t="inlineStr">
        <is>
          <t>Concours de l'innovation agroalimentaire du Val-d'Oise.</t>
        </is>
      </c>
      <c r="L64" s="11" t="inlineStr">
        <is>
          <t>non identifié publiquement</t>
        </is>
      </c>
      <c r="M64" s="10" t="inlineStr">
        <is>
          <t>Agroalimentaire, innovation</t>
        </is>
      </c>
      <c r="N64" s="10" t="inlineStr">
        <is>
          <t>non identifié publiquement</t>
        </is>
      </c>
      <c r="O64" s="10" t="inlineStr">
        <is>
          <t>non identifié publiquement</t>
        </is>
      </c>
      <c r="P64" s="10" t="inlineStr"/>
      <c r="Q64" s="11" t="inlineStr"/>
      <c r="R64" s="10" t="inlineStr">
        <is>
          <t>candidature</t>
        </is>
      </c>
      <c r="S64" s="10" t="inlineStr">
        <is>
          <t>non</t>
        </is>
      </c>
      <c r="T64" s="11" t="inlineStr"/>
      <c r="U64" s="10" t="inlineStr">
        <is>
          <t>non identifié publiquement</t>
        </is>
      </c>
      <c r="V64" s="10" t="inlineStr">
        <is>
          <t>https://www.entreprises.cci-paris-idf.fr/evenements/innovalim-2026</t>
        </is>
      </c>
      <c r="W64" s="10" t="inlineStr">
        <is>
          <t>2026-09-15</t>
        </is>
      </c>
      <c r="X64" s="11" t="inlineStr">
        <is>
          <t>Format concours ouvert aux candidatures du 30 septembre au 30 novembre 2026.</t>
        </is>
      </c>
      <c r="Y64" s="7" t="inlineStr">
        <is>
          <t>6</t>
        </is>
      </c>
      <c r="Z64" s="7" t="inlineStr">
        <is>
          <t>Agroalimentaire / Agriculture</t>
        </is>
      </c>
      <c r="AA64" s="7" t="inlineStr"/>
      <c r="AB64" s="7" t="inlineStr"/>
      <c r="AC64" s="7" t="inlineStr"/>
      <c r="AD64" s="7" t="inlineStr">
        <is>
          <t>2</t>
        </is>
      </c>
      <c r="AE64" s="7" t="inlineStr">
        <is>
          <t>0</t>
        </is>
      </c>
      <c r="AF64" s="7" t="inlineStr">
        <is>
          <t>Générique / Multi-éditeurs / Sans dominante</t>
        </is>
      </c>
      <c r="AG64" s="8" t="inlineStr">
        <is>
          <t>estimé</t>
        </is>
      </c>
      <c r="AH64" s="12" t="inlineStr">
        <is>
          <t>Aucune dimension logicielle dans le positionnement de l'organisateur : rattache au 0 (sans dominante) plutot que laisse vide, conformement a la demande de non-vide</t>
        </is>
      </c>
      <c r="AI64" s="7" t="inlineStr">
        <is>
          <t>2</t>
        </is>
      </c>
      <c r="AJ64" s="7" t="inlineStr">
        <is>
          <t>16-40</t>
        </is>
      </c>
      <c r="AK64" s="8" t="inlineStr">
        <is>
          <t>estimé</t>
        </is>
      </c>
      <c r="AL64" s="7" t="inlineStr">
        <is>
          <t>estimation : 15 a 60 participants</t>
        </is>
      </c>
      <c r="AM64" s="11" t="inlineStr">
        <is>
          <t>Modele de format (rendez-vous de chambre de commerce (atelier ou conference)), fourchette 15-60, plafonnee par la capacite du lieu (CCI Val-d'Oise, 35 boulevard du Port ~ 120)</t>
        </is>
      </c>
      <c r="AN64" s="7" t="inlineStr">
        <is>
          <t>moyenne</t>
        </is>
      </c>
      <c r="AO64" s="7" t="inlineStr">
        <is>
          <t>1</t>
        </is>
      </c>
      <c r="AP64" s="7" t="inlineStr">
        <is>
          <t>Décideurs PME/ETI</t>
        </is>
      </c>
      <c r="AQ64" s="8" t="inlineStr">
        <is>
          <t>estimé</t>
        </is>
      </c>
      <c r="AR64" s="12" t="inlineStr">
        <is>
          <t>Organisateur CCI : public cible structurel de dirigeants et collaborateurs de TPE-PME</t>
        </is>
      </c>
      <c r="AS64" s="7" t="inlineStr">
        <is>
          <t>2</t>
        </is>
      </c>
      <c r="AT64" s="7" t="inlineStr">
        <is>
          <t>Moyen</t>
        </is>
      </c>
      <c r="AU64" s="7" t="inlineStr">
        <is>
          <t>constaté</t>
        </is>
      </c>
      <c r="AV64" s="12" t="inlineStr"/>
      <c r="AW64" s="7" t="inlineStr">
        <is>
          <t>S:6 L:0 N:2 P:1 A:2</t>
        </is>
      </c>
    </row>
    <row r="65">
      <c r="A65" s="10" t="inlineStr">
        <is>
          <t>Masterclass : verdissement des flottes de vehicules</t>
        </is>
      </c>
      <c r="B65" s="10" t="inlineStr">
        <is>
          <t>CCI Paris Ile-de-France</t>
        </is>
      </c>
      <c r="C65" s="10" t="inlineStr">
        <is>
          <t>2026-09-30</t>
        </is>
      </c>
      <c r="D65" s="10" t="inlineStr"/>
      <c r="E65" s="10" t="inlineStr"/>
      <c r="F65" s="10" t="inlineStr">
        <is>
          <t>non identifié publiquement</t>
        </is>
      </c>
      <c r="G65" s="10" t="inlineStr">
        <is>
          <t>CCI Val-d'Oise, 35 boulevard du Port</t>
        </is>
      </c>
      <c r="H65" s="10" t="inlineStr">
        <is>
          <t>Cergy</t>
        </is>
      </c>
      <c r="I65" s="10" t="inlineStr">
        <is>
          <t>95</t>
        </is>
      </c>
      <c r="J65" s="10" t="inlineStr">
        <is>
          <t>présentiel</t>
        </is>
      </c>
      <c r="K65" s="11" t="inlineStr">
        <is>
          <t>Masterclass sur la transition des flottes de vehicules d'entreprise.</t>
        </is>
      </c>
      <c r="L65" s="11" t="inlineStr">
        <is>
          <t>non identifié publiquement</t>
        </is>
      </c>
      <c r="M65" s="10" t="inlineStr">
        <is>
          <t>Mobilite, flottes, transition energetique</t>
        </is>
      </c>
      <c r="N65" s="10" t="inlineStr">
        <is>
          <t>non identifié publiquement</t>
        </is>
      </c>
      <c r="O65" s="10" t="inlineStr">
        <is>
          <t>non identifié publiquement</t>
        </is>
      </c>
      <c r="P65" s="10" t="inlineStr"/>
      <c r="Q65" s="11" t="inlineStr"/>
      <c r="R65" s="10" t="inlineStr">
        <is>
          <t>inscription libre</t>
        </is>
      </c>
      <c r="S65" s="10" t="inlineStr">
        <is>
          <t>non</t>
        </is>
      </c>
      <c r="T65" s="11" t="inlineStr"/>
      <c r="U65" s="10" t="inlineStr">
        <is>
          <t>gratuit</t>
        </is>
      </c>
      <c r="V65" s="10" t="inlineStr">
        <is>
          <t>https://www.entreprises.cci-paris-idf.fr/evenements/masterclass-verdissement-des-flottes-de-vehicules</t>
        </is>
      </c>
      <c r="W65" s="10" t="inlineStr">
        <is>
          <t>2026-09-15</t>
        </is>
      </c>
      <c r="X65" s="11" t="inlineStr">
        <is>
          <t>La fiche mentionne un acces libre et gratuit.</t>
        </is>
      </c>
      <c r="Y65" s="7" t="inlineStr">
        <is>
          <t>0</t>
        </is>
      </c>
      <c r="Z65" s="7" t="inlineStr">
        <is>
          <t>Générique / Transversal</t>
        </is>
      </c>
      <c r="AA65" s="7" t="inlineStr"/>
      <c r="AB65" s="7" t="inlineStr"/>
      <c r="AC65" s="7" t="inlineStr"/>
      <c r="AD65" s="7" t="inlineStr">
        <is>
          <t>1</t>
        </is>
      </c>
      <c r="AE65" s="7" t="inlineStr">
        <is>
          <t>0</t>
        </is>
      </c>
      <c r="AF65" s="7" t="inlineStr">
        <is>
          <t>Générique / Multi-éditeurs / Sans dominante</t>
        </is>
      </c>
      <c r="AG65" s="8" t="inlineStr">
        <is>
          <t>estimé</t>
        </is>
      </c>
      <c r="AH65" s="12" t="inlineStr">
        <is>
          <t>Aucune dimension logicielle dans le positionnement de l'organisateur : rattache au 0 (sans dominante) plutot que laisse vide, conformement a la demande de non-vide</t>
        </is>
      </c>
      <c r="AI65" s="7" t="inlineStr">
        <is>
          <t>2</t>
        </is>
      </c>
      <c r="AJ65" s="7" t="inlineStr">
        <is>
          <t>16-40</t>
        </is>
      </c>
      <c r="AK65" s="8" t="inlineStr">
        <is>
          <t>estimé</t>
        </is>
      </c>
      <c r="AL65" s="7" t="inlineStr">
        <is>
          <t>estimation : 10 a 30 participants</t>
        </is>
      </c>
      <c r="AM65" s="11" t="inlineStr">
        <is>
          <t>Modele de format (atelier ou formation en chambre de commerce), fourchette 10-30, plafonnee par la capacite du lieu (CCI Val-d'Oise, 35 boulevard du Port ~ 120)</t>
        </is>
      </c>
      <c r="AN65" s="7" t="inlineStr">
        <is>
          <t>moyenne</t>
        </is>
      </c>
      <c r="AO65" s="7" t="inlineStr">
        <is>
          <t>1</t>
        </is>
      </c>
      <c r="AP65" s="7" t="inlineStr">
        <is>
          <t>Décideurs PME/ETI</t>
        </is>
      </c>
      <c r="AQ65" s="8" t="inlineStr">
        <is>
          <t>estimé</t>
        </is>
      </c>
      <c r="AR65" s="12" t="inlineStr">
        <is>
          <t>Organisateur CCI : public cible structurel de dirigeants et collaborateurs de TPE-PME</t>
        </is>
      </c>
      <c r="AS65" s="7" t="inlineStr">
        <is>
          <t>1</t>
        </is>
      </c>
      <c r="AT65" s="7" t="inlineStr">
        <is>
          <t>Facile</t>
        </is>
      </c>
      <c r="AU65" s="7" t="inlineStr">
        <is>
          <t>constaté</t>
        </is>
      </c>
      <c r="AV65" s="12" t="inlineStr"/>
      <c r="AW65" s="7" t="inlineStr">
        <is>
          <t>S:0 L:0 N:2 P:1 A:1</t>
        </is>
      </c>
    </row>
    <row r="66">
      <c r="A66" s="10" t="inlineStr">
        <is>
          <t>Produrable 2026</t>
        </is>
      </c>
      <c r="B66" s="10" t="inlineStr">
        <is>
          <t>non identifié publiquement</t>
        </is>
      </c>
      <c r="C66" s="10" t="inlineStr">
        <is>
          <t>2026-09-30</t>
        </is>
      </c>
      <c r="D66" s="10" t="inlineStr">
        <is>
          <t>2026-10-01</t>
        </is>
      </c>
      <c r="E66" s="10" t="inlineStr"/>
      <c r="F66" s="10" t="inlineStr">
        <is>
          <t>annuel</t>
        </is>
      </c>
      <c r="G66" s="10" t="inlineStr">
        <is>
          <t>Palais des Congres de Paris (Porte Maillot)</t>
        </is>
      </c>
      <c r="H66" s="10" t="inlineStr">
        <is>
          <t>Paris 17e</t>
        </is>
      </c>
      <c r="I66" s="10" t="inlineStr">
        <is>
          <t>75</t>
        </is>
      </c>
      <c r="J66" s="10" t="inlineStr">
        <is>
          <t>présentiel</t>
        </is>
      </c>
      <c r="K66" s="11" t="inlineStr">
        <is>
          <t>Le rendez-vous des acteurs et des solutions en faveur de l'économie durable</t>
        </is>
      </c>
      <c r="L66" s="11" t="inlineStr">
        <is>
          <t>Visitorat : réservé aux professionnels (fiche CCI Paris Ile-de-France)</t>
        </is>
      </c>
      <c r="M66" s="10" t="inlineStr">
        <is>
          <t>Environnement et énergie</t>
        </is>
      </c>
      <c r="N66" s="10" t="inlineStr">
        <is>
          <t>non identifié publiquement</t>
        </is>
      </c>
      <c r="O66" s="10" t="inlineStr">
        <is>
          <t>non identifié publiquement</t>
        </is>
      </c>
      <c r="P66" s="10" t="inlineStr"/>
      <c r="Q66" s="11" t="inlineStr"/>
      <c r="R66" s="10" t="inlineStr">
        <is>
          <t>billet payant</t>
        </is>
      </c>
      <c r="S66" s="10" t="inlineStr">
        <is>
          <t>non</t>
        </is>
      </c>
      <c r="T66" s="11" t="inlineStr"/>
      <c r="U66" s="10" t="inlineStr">
        <is>
          <t>non identifié publiquement</t>
        </is>
      </c>
      <c r="V66" s="10" t="inlineStr">
        <is>
          <t>https://www.cci-paris-idf.fr/fr/evenements-salons/salons-foires-paris-ile-de-france/produrable</t>
        </is>
      </c>
      <c r="W66" s="10" t="inlineStr">
        <is>
          <t>2026-09-15</t>
        </is>
      </c>
      <c r="X66" s="11" t="inlineStr">
        <is>
          <t>Rendez-vous RSE et transition durable. Site organisateur indique par la CCI : aefinfo.fr.</t>
        </is>
      </c>
      <c r="Y66" s="7" t="inlineStr">
        <is>
          <t>11</t>
        </is>
      </c>
      <c r="Z66" s="7" t="inlineStr">
        <is>
          <t>Énergie / Environnement / Utilities</t>
        </is>
      </c>
      <c r="AA66" s="7" t="inlineStr"/>
      <c r="AB66" s="7" t="inlineStr"/>
      <c r="AC66" s="7" t="inlineStr"/>
      <c r="AD66" s="7" t="inlineStr">
        <is>
          <t>2</t>
        </is>
      </c>
      <c r="AE66" s="7" t="inlineStr">
        <is>
          <t>0</t>
        </is>
      </c>
      <c r="AF66" s="7" t="inlineStr">
        <is>
          <t>Générique / Multi-éditeurs / Sans dominante</t>
        </is>
      </c>
      <c r="AG66" s="8" t="inlineStr">
        <is>
          <t>estimé</t>
        </is>
      </c>
      <c r="AH66" s="12" t="inlineStr">
        <is>
          <t>Aucune dimension logicielle dans le positionnement de l'organisateur : rattache au 0 (sans dominante) plutot que laisse vide, conformement a la demande de non-vide</t>
        </is>
      </c>
      <c r="AI66" s="7" t="inlineStr">
        <is>
          <t>4</t>
        </is>
      </c>
      <c r="AJ66" s="7" t="inlineStr">
        <is>
          <t>121-400</t>
        </is>
      </c>
      <c r="AK66" s="8" t="inlineStr">
        <is>
          <t>estimé</t>
        </is>
      </c>
      <c r="AL66" s="7" t="inlineStr">
        <is>
          <t>estimation : 100 a 500 participants</t>
        </is>
      </c>
      <c r="AM66" s="11" t="inlineStr">
        <is>
          <t>Modele de format (format non caracterise), fourchette 100-500, plafonnee par la capacite du lieu (Palais des Congres de Paris (Porte Maill ~ 10000)</t>
        </is>
      </c>
      <c r="AN66" s="7" t="inlineStr">
        <is>
          <t>faible</t>
        </is>
      </c>
      <c r="AO66" s="7" t="inlineStr">
        <is>
          <t>1</t>
        </is>
      </c>
      <c r="AP66" s="7" t="inlineStr">
        <is>
          <t>Décideurs PME/ETI</t>
        </is>
      </c>
      <c r="AQ66" s="8" t="inlineStr">
        <is>
          <t>estimé</t>
        </is>
      </c>
      <c r="AR66" s="12" t="inlineStr">
        <is>
          <t>Par defaut, evenement B2B francilien : decideurs PME/ETI</t>
        </is>
      </c>
      <c r="AS66" s="7" t="inlineStr">
        <is>
          <t>2</t>
        </is>
      </c>
      <c r="AT66" s="7" t="inlineStr">
        <is>
          <t>Moyen</t>
        </is>
      </c>
      <c r="AU66" s="7" t="inlineStr">
        <is>
          <t>constaté</t>
        </is>
      </c>
      <c r="AV66" s="12" t="inlineStr"/>
      <c r="AW66" s="7" t="inlineStr">
        <is>
          <t>S:11 L:0 N:4 P:1 A:2</t>
        </is>
      </c>
    </row>
    <row r="67">
      <c r="A67" s="10" t="inlineStr">
        <is>
          <t>Soirée technologique Lafi</t>
        </is>
      </c>
      <c r="B67" s="10" t="inlineStr">
        <is>
          <t>Lafi</t>
        </is>
      </c>
      <c r="C67" s="10" t="inlineStr">
        <is>
          <t>2026-09-30</t>
        </is>
      </c>
      <c r="D67" s="10" t="inlineStr"/>
      <c r="E67" s="10" t="inlineStr"/>
      <c r="F67" s="10" t="inlineStr">
        <is>
          <t>non identifié publiquement</t>
        </is>
      </c>
      <c r="G67" s="10" t="inlineStr">
        <is>
          <t>Maison de la radio</t>
        </is>
      </c>
      <c r="H67" s="10" t="inlineStr">
        <is>
          <t>Paris (arrondissement selon le lieu)</t>
        </is>
      </c>
      <c r="I67" s="10" t="inlineStr">
        <is>
          <t>75</t>
        </is>
      </c>
      <c r="J67" s="10" t="inlineStr">
        <is>
          <t>présentiel</t>
        </is>
      </c>
      <c r="K67" s="11" t="inlineStr">
        <is>
          <t>Soirée Technologique à Paris le 1er octobre 2026. Découvrez le programme, inscrivez-vous et consultez le plan de l'événement.</t>
        </is>
      </c>
      <c r="L67" s="11" t="inlineStr">
        <is>
          <t>non identifié publiquement</t>
        </is>
      </c>
      <c r="M67" s="10" t="inlineStr">
        <is>
          <t>Numerique, informatique, technologies</t>
        </is>
      </c>
      <c r="N67" s="10" t="inlineStr">
        <is>
          <t>non identifié publiquement</t>
        </is>
      </c>
      <c r="O67" s="10" t="inlineStr">
        <is>
          <t>non identifié publiquement</t>
        </is>
      </c>
      <c r="P67" s="10" t="inlineStr"/>
      <c r="Q67" s="11" t="inlineStr"/>
      <c r="R67" s="10" t="inlineStr">
        <is>
          <t>non identifié publiquement</t>
        </is>
      </c>
      <c r="S67" s="10" t="inlineStr">
        <is>
          <t>non</t>
        </is>
      </c>
      <c r="T67" s="11" t="inlineStr"/>
      <c r="U67" s="10" t="inlineStr">
        <is>
          <t>non identifié publiquement</t>
        </is>
      </c>
      <c r="V67" s="10" t="inlineStr">
        <is>
          <t>https://www.agenda-tech.com/events/evenements</t>
        </is>
      </c>
      <c r="W67" s="10" t="inlineStr">
        <is>
          <t>2026-09-15</t>
        </is>
      </c>
      <c r="X67" s="11" t="inlineStr">
        <is>
          <t>Identifie via l'agregateur specialise Agenda Tech (donnees structurees schema.org publiees par l'organisateur). ECART DE DATE SIGNALE : la donnee structuree porte 2026-09-30 alors que le descriptif de l'organisateur annonce 1er octobre 2026. Date structuree retenue, a verifier.</t>
        </is>
      </c>
      <c r="Y67" s="7" t="inlineStr">
        <is>
          <t>4</t>
        </is>
      </c>
      <c r="Z67" s="7" t="inlineStr">
        <is>
          <t>Tech / IT / Logiciels / Télécom</t>
        </is>
      </c>
      <c r="AA67" s="7" t="inlineStr">
        <is>
          <t>0</t>
        </is>
      </c>
      <c r="AB67" s="7" t="inlineStr"/>
      <c r="AC67" s="7" t="inlineStr"/>
      <c r="AD67" s="7" t="inlineStr"/>
      <c r="AE67" s="7" t="inlineStr">
        <is>
          <t>0</t>
        </is>
      </c>
      <c r="AF67" s="7" t="inlineStr">
        <is>
          <t>Générique / Multi-éditeurs / Sans dominante</t>
        </is>
      </c>
      <c r="AG67" s="7" t="inlineStr">
        <is>
          <t>déduit</t>
        </is>
      </c>
      <c r="AH67" s="12" t="inlineStr">
        <is>
          <t>Deduit du secteur (axe 1)</t>
        </is>
      </c>
      <c r="AI67" s="7" t="inlineStr">
        <is>
          <t>4</t>
        </is>
      </c>
      <c r="AJ67" s="7" t="inlineStr">
        <is>
          <t>121-400</t>
        </is>
      </c>
      <c r="AK67" s="8" t="inlineStr">
        <is>
          <t>estimé</t>
        </is>
      </c>
      <c r="AL67" s="7" t="inlineStr">
        <is>
          <t>estimation : 100 a 500 participants</t>
        </is>
      </c>
      <c r="AM67" s="11" t="inlineStr">
        <is>
          <t>Modele de format (format non caracterise), fourchette 100-500, plafonnee par la capacite du lieu (Maison de la radio ~ 1000)</t>
        </is>
      </c>
      <c r="AN67" s="7" t="inlineStr">
        <is>
          <t>faible</t>
        </is>
      </c>
      <c r="AO67" s="7" t="inlineStr">
        <is>
          <t>1</t>
        </is>
      </c>
      <c r="AP67" s="7" t="inlineStr">
        <is>
          <t>Décideurs PME/ETI</t>
        </is>
      </c>
      <c r="AQ67" s="8" t="inlineStr">
        <is>
          <t>estimé</t>
        </is>
      </c>
      <c r="AR67" s="12" t="inlineStr">
        <is>
          <t>Par defaut, evenement B2B francilien : decideurs PME/ETI</t>
        </is>
      </c>
      <c r="AS67" s="7" t="inlineStr">
        <is>
          <t>2</t>
        </is>
      </c>
      <c r="AT67" s="7" t="inlineStr">
        <is>
          <t>Moyen</t>
        </is>
      </c>
      <c r="AU67" s="8" t="inlineStr">
        <is>
          <t>estimé</t>
        </is>
      </c>
      <c r="AV67" s="12" t="inlineStr">
        <is>
          <t>Billetterie en vente libre (mention 'Voir tarifs sur le site' chez Agenda Tech), sans gratuite confirmee</t>
        </is>
      </c>
      <c r="AW67" s="7" t="inlineStr">
        <is>
          <t>S:4 L:0 N:4 P:1 A:2</t>
        </is>
      </c>
    </row>
    <row r="68">
      <c r="A68" s="10" t="inlineStr">
        <is>
          <t>Inclusiv' Day 2026</t>
        </is>
      </c>
      <c r="B68" s="10" t="inlineStr">
        <is>
          <t>Groupe AEF</t>
        </is>
      </c>
      <c r="C68" s="10" t="inlineStr">
        <is>
          <t>2026-10-01</t>
        </is>
      </c>
      <c r="D68" s="10" t="inlineStr"/>
      <c r="E68" s="10" t="inlineStr"/>
      <c r="F68" s="10" t="inlineStr">
        <is>
          <t>annuel</t>
        </is>
      </c>
      <c r="G68" s="10" t="inlineStr">
        <is>
          <t>Palais des Congres de Paris</t>
        </is>
      </c>
      <c r="H68" s="10" t="inlineStr">
        <is>
          <t>Paris 17e</t>
        </is>
      </c>
      <c r="I68" s="10" t="inlineStr">
        <is>
          <t>75</t>
        </is>
      </c>
      <c r="J68" s="10" t="inlineStr">
        <is>
          <t>présentiel</t>
        </is>
      </c>
      <c r="K68" s="11" t="inlineStr">
        <is>
          <t>L'evenement B2B des organisations inclusives et des innovations sociales.</t>
        </is>
      </c>
      <c r="L68" s="11" t="inlineStr">
        <is>
          <t>organisations inclusives (formulation de l'organisateur : 'l'evenement B2B des organisations inclusives et des innovations sociales')</t>
        </is>
      </c>
      <c r="M68" s="10" t="inlineStr">
        <is>
          <t>RSE, diversite et inclusion, innovation sociale</t>
        </is>
      </c>
      <c r="N68" s="10" t="inlineStr">
        <is>
          <t>non identifié publiquement</t>
        </is>
      </c>
      <c r="O68" s="10" t="inlineStr">
        <is>
          <t>non identifié publiquement</t>
        </is>
      </c>
      <c r="P68" s="10" t="inlineStr"/>
      <c r="Q68" s="11" t="inlineStr"/>
      <c r="R68" s="10" t="inlineStr">
        <is>
          <t>inscription libre</t>
        </is>
      </c>
      <c r="S68" s="10" t="inlineStr">
        <is>
          <t>non</t>
        </is>
      </c>
      <c r="T68" s="11" t="inlineStr"/>
      <c r="U68" s="10" t="inlineStr">
        <is>
          <t>non identifié publiquement</t>
        </is>
      </c>
      <c r="V68" s="10" t="inlineStr">
        <is>
          <t>https://groupe-aef.fr/agenda/</t>
        </is>
      </c>
      <c r="W68" s="10" t="inlineStr">
        <is>
          <t>2026-09-15</t>
        </is>
      </c>
      <c r="X68" s="11" t="inlineStr">
        <is>
          <t>Identifie via l'agenda du Groupe AEF. Se tient au lendemain de Produrable, au meme endroit.</t>
        </is>
      </c>
      <c r="Y68" s="7" t="inlineStr">
        <is>
          <t>11</t>
        </is>
      </c>
      <c r="Z68" s="7" t="inlineStr">
        <is>
          <t>Énergie / Environnement / Utilities</t>
        </is>
      </c>
      <c r="AA68" s="7" t="inlineStr"/>
      <c r="AB68" s="7" t="inlineStr"/>
      <c r="AC68" s="7" t="inlineStr"/>
      <c r="AD68" s="7" t="inlineStr">
        <is>
          <t>2</t>
        </is>
      </c>
      <c r="AE68" s="7" t="inlineStr">
        <is>
          <t>0</t>
        </is>
      </c>
      <c r="AF68" s="7" t="inlineStr">
        <is>
          <t>Générique / Multi-éditeurs / Sans dominante</t>
        </is>
      </c>
      <c r="AG68" s="8" t="inlineStr">
        <is>
          <t>estimé</t>
        </is>
      </c>
      <c r="AH68" s="12" t="inlineStr">
        <is>
          <t>Aucune dimension logicielle dans le positionnement de l'organisateur : rattache au 0 (sans dominante) plutot que laisse vide, conformement a la demande de non-vide</t>
        </is>
      </c>
      <c r="AI68" s="7" t="inlineStr">
        <is>
          <t>4</t>
        </is>
      </c>
      <c r="AJ68" s="7" t="inlineStr">
        <is>
          <t>121-400</t>
        </is>
      </c>
      <c r="AK68" s="8" t="inlineStr">
        <is>
          <t>estimé</t>
        </is>
      </c>
      <c r="AL68" s="7" t="inlineStr">
        <is>
          <t>estimation : 200 a 800 participants</t>
        </is>
      </c>
      <c r="AM68" s="11" t="inlineStr">
        <is>
          <t>Modele de format (conference technique ou sectorielle), fourchette 200-800, plafonnee par la capacite du lieu (Palais des Congres de Paris ~ 10000)</t>
        </is>
      </c>
      <c r="AN68" s="7" t="inlineStr">
        <is>
          <t>moyenne</t>
        </is>
      </c>
      <c r="AO68" s="7" t="inlineStr">
        <is>
          <t>1</t>
        </is>
      </c>
      <c r="AP68" s="7" t="inlineStr">
        <is>
          <t>Décideurs PME/ETI</t>
        </is>
      </c>
      <c r="AQ68" s="8" t="inlineStr">
        <is>
          <t>estimé</t>
        </is>
      </c>
      <c r="AR68" s="12" t="inlineStr">
        <is>
          <t>Par defaut, evenement B2B francilien : decideurs PME/ETI</t>
        </is>
      </c>
      <c r="AS68" s="7" t="inlineStr">
        <is>
          <t>2</t>
        </is>
      </c>
      <c r="AT68" s="7" t="inlineStr">
        <is>
          <t>Moyen</t>
        </is>
      </c>
      <c r="AU68" s="7" t="inlineStr">
        <is>
          <t>constaté</t>
        </is>
      </c>
      <c r="AV68" s="12" t="inlineStr"/>
      <c r="AW68" s="7" t="inlineStr">
        <is>
          <t>S:11 L:0 N:4 P:1 A:2</t>
        </is>
      </c>
    </row>
    <row r="69">
      <c r="A69" s="10" t="inlineStr">
        <is>
          <t>Initiation aux premiers secours et a l'utilisation d'un defibrillateur</t>
        </is>
      </c>
      <c r="B69" s="10" t="inlineStr">
        <is>
          <t>CPME Paris - Les Entrepreneurs Paris</t>
        </is>
      </c>
      <c r="C69" s="10" t="inlineStr">
        <is>
          <t>2026-10-01</t>
        </is>
      </c>
      <c r="D69" s="10" t="inlineStr"/>
      <c r="E69" s="10" t="inlineStr"/>
      <c r="F69" s="10" t="inlineStr">
        <is>
          <t>non identifié publiquement</t>
        </is>
      </c>
      <c r="G69" s="10" t="inlineStr">
        <is>
          <t>Les Entrepreneurs Paris (CPME Paris), 19 rue de l'Amiral d'Estaing</t>
        </is>
      </c>
      <c r="H69" s="10" t="inlineStr">
        <is>
          <t>Paris 16e</t>
        </is>
      </c>
      <c r="I69" s="10" t="inlineStr">
        <is>
          <t>75</t>
        </is>
      </c>
      <c r="J69" s="10" t="inlineStr">
        <is>
          <t>présentiel</t>
        </is>
      </c>
      <c r="K69" s="11" t="inlineStr">
        <is>
          <t xml:space="preserve">À travers des mises en situation concrètes et des démonstrations pratiques, les participants apprendront à protéger une victime, évaluer son état et intervenir efficacement en attendant l’arrivée des </t>
        </is>
      </c>
      <c r="L69" s="11" t="inlineStr">
        <is>
          <t>dirigeants et entrepreneurs adherents ou invites de la CPME Paris</t>
        </is>
      </c>
      <c r="M69" s="10" t="inlineStr">
        <is>
          <t>Sante et securite au travail</t>
        </is>
      </c>
      <c r="N69" s="10" t="inlineStr">
        <is>
          <t>non identifié publiquement</t>
        </is>
      </c>
      <c r="O69" s="10" t="inlineStr">
        <is>
          <t>non identifié publiquement</t>
        </is>
      </c>
      <c r="P69" s="10" t="inlineStr"/>
      <c r="Q69" s="11" t="inlineStr"/>
      <c r="R69" s="10" t="inlineStr">
        <is>
          <t>réservé adhérents</t>
        </is>
      </c>
      <c r="S69" s="10" t="inlineStr">
        <is>
          <t>oui</t>
        </is>
      </c>
      <c r="T69" s="11" t="inlineStr">
        <is>
          <t>Evenement d'organisation patronale, oriente adherents CPME Paris</t>
        </is>
      </c>
      <c r="U69" s="10" t="inlineStr">
        <is>
          <t>non identifié publiquement</t>
        </is>
      </c>
      <c r="V69" s="10" t="inlineStr">
        <is>
          <t>https://cpmeparis.fr/agenda/</t>
        </is>
      </c>
      <c r="W69" s="10" t="inlineStr">
        <is>
          <t>2026-09-15</t>
        </is>
      </c>
      <c r="X69" s="11" t="inlineStr">
        <is>
          <t>Identifie via l'agenda public de la CPME Paris (Les Entrepreneurs Paris). Adresse du siege : 19 rue de l'Amiral d'Estaing, 75016 Paris.</t>
        </is>
      </c>
      <c r="Y69" s="7" t="inlineStr">
        <is>
          <t>7</t>
        </is>
      </c>
      <c r="Z69" s="7" t="inlineStr">
        <is>
          <t>Santé / Pharma / Biotech / Medtech</t>
        </is>
      </c>
      <c r="AA69" s="7" t="inlineStr"/>
      <c r="AB69" s="7" t="inlineStr"/>
      <c r="AC69" s="7" t="inlineStr">
        <is>
          <t>1</t>
        </is>
      </c>
      <c r="AD69" s="7" t="inlineStr">
        <is>
          <t>2</t>
        </is>
      </c>
      <c r="AE69" s="7" t="inlineStr">
        <is>
          <t>0</t>
        </is>
      </c>
      <c r="AF69" s="7" t="inlineStr">
        <is>
          <t>Générique / Multi-éditeurs / Sans dominante</t>
        </is>
      </c>
      <c r="AG69" s="8" t="inlineStr">
        <is>
          <t>estimé</t>
        </is>
      </c>
      <c r="AH69" s="12" t="inlineStr">
        <is>
          <t>Aucune dimension logicielle dans le positionnement de l'organisateur : rattache au 0 (sans dominante) plutot que laisse vide, conformement a la demande de non-vide</t>
        </is>
      </c>
      <c r="AI69" s="7" t="inlineStr">
        <is>
          <t>3</t>
        </is>
      </c>
      <c r="AJ69" s="7" t="inlineStr">
        <is>
          <t>41-120</t>
        </is>
      </c>
      <c r="AK69" s="8" t="inlineStr">
        <is>
          <t>estimé</t>
        </is>
      </c>
      <c r="AL69" s="7" t="inlineStr">
        <is>
          <t>estimation : 25 a 80 participants</t>
        </is>
      </c>
      <c r="AM69" s="11" t="inlineStr">
        <is>
          <t>Modele de format (rendez-vous d'organisation patronale), fourchette 25-80</t>
        </is>
      </c>
      <c r="AN69" s="7" t="inlineStr">
        <is>
          <t>moyenne</t>
        </is>
      </c>
      <c r="AO69" s="7" t="inlineStr">
        <is>
          <t>1</t>
        </is>
      </c>
      <c r="AP69" s="7" t="inlineStr">
        <is>
          <t>Décideurs PME/ETI</t>
        </is>
      </c>
      <c r="AQ69" s="7" t="inlineStr">
        <is>
          <t>constaté</t>
        </is>
      </c>
      <c r="AR69" s="12" t="inlineStr"/>
      <c r="AS69" s="7" t="inlineStr">
        <is>
          <t>2</t>
        </is>
      </c>
      <c r="AT69" s="7" t="inlineStr">
        <is>
          <t>Moyen</t>
        </is>
      </c>
      <c r="AU69" s="7" t="inlineStr">
        <is>
          <t>constaté</t>
        </is>
      </c>
      <c r="AV69" s="12" t="inlineStr"/>
      <c r="AW69" s="7" t="inlineStr">
        <is>
          <t>S:7 L:0 N:3 P:1 A:2</t>
        </is>
      </c>
    </row>
    <row r="70">
      <c r="A70" s="10" t="inlineStr">
        <is>
          <t>Les Rencontres de l'Ingenierie 2026</t>
        </is>
      </c>
      <c r="B70" s="10" t="inlineStr">
        <is>
          <t>Syntec-Ingenierie</t>
        </is>
      </c>
      <c r="C70" s="10" t="inlineStr">
        <is>
          <t>2026-10-01</t>
        </is>
      </c>
      <c r="D70" s="10" t="inlineStr"/>
      <c r="E70" s="10" t="inlineStr"/>
      <c r="F70" s="10" t="inlineStr">
        <is>
          <t>annuel</t>
        </is>
      </c>
      <c r="G70" s="10" t="inlineStr">
        <is>
          <t>3 Mazarium, 3 rue Mazarine</t>
        </is>
      </c>
      <c r="H70" s="10" t="inlineStr">
        <is>
          <t>Paris 6e</t>
        </is>
      </c>
      <c r="I70" s="10" t="inlineStr">
        <is>
          <t>75</t>
        </is>
      </c>
      <c r="J70" s="10" t="inlineStr">
        <is>
          <t>présentiel</t>
        </is>
      </c>
      <c r="K70" s="11" t="inlineStr">
        <is>
          <t>Journee de l'ecosysteme de l'ingenierie : souverainete et competitivite, grands projets d'infrastructure, data et IA, evolution des modeles de commande publique.</t>
        </is>
      </c>
      <c r="L70" s="11" t="inlineStr">
        <is>
          <t>decideurs publics, maitres d'ouvrage, ingenieurs, experts et acteurs de l'innovation</t>
        </is>
      </c>
      <c r="M70" s="10" t="inlineStr">
        <is>
          <t>Ingenierie, infrastructures, construction, industrie</t>
        </is>
      </c>
      <c r="N70" s="10" t="inlineStr">
        <is>
          <t>Data, innovation et intelligence artificielle ; IA pour la reindustrialisation et la relocalisation d'activites</t>
        </is>
      </c>
      <c r="O70" s="10" t="inlineStr">
        <is>
          <t>non identifié publiquement</t>
        </is>
      </c>
      <c r="P70" s="10" t="inlineStr"/>
      <c r="Q70" s="11" t="inlineStr"/>
      <c r="R70" s="10" t="inlineStr">
        <is>
          <t>inscription libre</t>
        </is>
      </c>
      <c r="S70" s="10" t="inlineStr">
        <is>
          <t>non</t>
        </is>
      </c>
      <c r="T70" s="11" t="inlineStr"/>
      <c r="U70" s="10" t="inlineStr">
        <is>
          <t>non identifié publiquement</t>
        </is>
      </c>
      <c r="V70" s="10" t="inlineStr">
        <is>
          <t>https://www.lesrencontresdelingenierie.fr/</t>
        </is>
      </c>
      <c r="W70" s="10" t="inlineStr">
        <is>
          <t>2026-09-15</t>
        </is>
      </c>
      <c r="X70" s="11" t="inlineStr">
        <is>
          <t>FORT ALIGNEMENT IA : deux sequences du programme portent explicitement sur la data et l'IA, dont 'l'IA pour la reindustrialisation et la relocalisation d'activites'. Debut annonce a 11h. Sequences FuturLab, espaces de networking, cocktail de cloture et ceremonie de remise de prix. Les adherents Syntec-Ingenierie sont des bureaux d'etudes, tres majoritairement des PME et ETI : coeur de cible ICP.</t>
        </is>
      </c>
      <c r="Y70" s="7" t="inlineStr">
        <is>
          <t>9|2</t>
        </is>
      </c>
      <c r="Z70" s="7" t="inlineStr">
        <is>
          <t>Services professionnels / Conseil / Juridique / Comptabilité + Immobilier / Construction / BTP</t>
        </is>
      </c>
      <c r="AA70" s="7" t="inlineStr">
        <is>
          <t>9</t>
        </is>
      </c>
      <c r="AB70" s="7" t="inlineStr"/>
      <c r="AC70" s="7" t="inlineStr">
        <is>
          <t>1|9</t>
        </is>
      </c>
      <c r="AD70" s="7" t="inlineStr">
        <is>
          <t>2</t>
        </is>
      </c>
      <c r="AE70" s="7" t="inlineStr">
        <is>
          <t>9</t>
        </is>
      </c>
      <c r="AF70" s="7" t="inlineStr">
        <is>
          <t>Data / BI / Analytics</t>
        </is>
      </c>
      <c r="AG70" s="7" t="inlineStr">
        <is>
          <t>constaté</t>
        </is>
      </c>
      <c r="AH70" s="12" t="inlineStr"/>
      <c r="AI70" s="7" t="inlineStr">
        <is>
          <t>4</t>
        </is>
      </c>
      <c r="AJ70" s="7" t="inlineStr">
        <is>
          <t>121-400</t>
        </is>
      </c>
      <c r="AK70" s="8" t="inlineStr">
        <is>
          <t>estimé</t>
        </is>
      </c>
      <c r="AL70" s="7" t="inlineStr">
        <is>
          <t>estimation : 150 a 400 participants</t>
        </is>
      </c>
      <c r="AM70" s="11" t="inlineStr">
        <is>
          <t>Modele de format (colloque ou journee thematique), fourchette 150-400, plafonnee par la capacite du lieu (3 Mazarium, 3 rue Mazarine ~ 400)</t>
        </is>
      </c>
      <c r="AN70" s="7" t="inlineStr">
        <is>
          <t>moyenne</t>
        </is>
      </c>
      <c r="AO70" s="7" t="inlineStr">
        <is>
          <t>1|9</t>
        </is>
      </c>
      <c r="AP70" s="7" t="inlineStr">
        <is>
          <t>Décideurs PME/ETI + Institutionnels / Secteur public</t>
        </is>
      </c>
      <c r="AQ70" s="7" t="inlineStr">
        <is>
          <t>constaté</t>
        </is>
      </c>
      <c r="AR70" s="12" t="inlineStr"/>
      <c r="AS70" s="7" t="inlineStr">
        <is>
          <t>2</t>
        </is>
      </c>
      <c r="AT70" s="7" t="inlineStr">
        <is>
          <t>Moyen</t>
        </is>
      </c>
      <c r="AU70" s="7" t="inlineStr">
        <is>
          <t>constaté</t>
        </is>
      </c>
      <c r="AV70" s="12" t="inlineStr"/>
      <c r="AW70" s="7" t="inlineStr">
        <is>
          <t>S:9|2 L:9 N:4 P:1|9 A:2</t>
        </is>
      </c>
    </row>
    <row r="71">
      <c r="A71" s="10" t="inlineStr">
        <is>
          <t>Recruter les seniors : une opportunite pour votre entreprise</t>
        </is>
      </c>
      <c r="B71" s="10" t="inlineStr">
        <is>
          <t>CCI Paris Ile-de-France</t>
        </is>
      </c>
      <c r="C71" s="10" t="inlineStr">
        <is>
          <t>2026-10-01</t>
        </is>
      </c>
      <c r="D71" s="10" t="inlineStr"/>
      <c r="E71" s="10" t="inlineStr"/>
      <c r="F71" s="10" t="inlineStr">
        <is>
          <t>non identifié publiquement</t>
        </is>
      </c>
      <c r="G71" s="10" t="inlineStr">
        <is>
          <t>CCI Paris, 11 rue Leon Jouhaux</t>
        </is>
      </c>
      <c r="H71" s="10" t="inlineStr">
        <is>
          <t>Paris 10e</t>
        </is>
      </c>
      <c r="I71" s="10" t="inlineStr">
        <is>
          <t>75</t>
        </is>
      </c>
      <c r="J71" s="10" t="inlineStr">
        <is>
          <t>présentiel</t>
        </is>
      </c>
      <c r="K71" s="11" t="inlineStr">
        <is>
          <t>Conference destinee aux employeurs sur le recrutement des seniors.</t>
        </is>
      </c>
      <c r="L71" s="11" t="inlineStr">
        <is>
          <t>employeurs</t>
        </is>
      </c>
      <c r="M71" s="10" t="inlineStr">
        <is>
          <t>RH, recrutement</t>
        </is>
      </c>
      <c r="N71" s="10" t="inlineStr">
        <is>
          <t>non identifié publiquement</t>
        </is>
      </c>
      <c r="O71" s="10" t="inlineStr">
        <is>
          <t>non identifié publiquement</t>
        </is>
      </c>
      <c r="P71" s="10" t="inlineStr"/>
      <c r="Q71" s="11" t="inlineStr"/>
      <c r="R71" s="10" t="inlineStr">
        <is>
          <t>inscription libre</t>
        </is>
      </c>
      <c r="S71" s="10" t="inlineStr">
        <is>
          <t>non</t>
        </is>
      </c>
      <c r="T71" s="11" t="inlineStr"/>
      <c r="U71" s="10" t="inlineStr">
        <is>
          <t>non identifié publiquement</t>
        </is>
      </c>
      <c r="V71" s="10" t="inlineStr">
        <is>
          <t>https://www.entreprises.cci-paris-idf.fr/evenements/recruter-les-seniors-une-opportunite-pour-votre-entreprise</t>
        </is>
      </c>
      <c r="W71" s="10" t="inlineStr">
        <is>
          <t>2026-09-15</t>
        </is>
      </c>
      <c r="X71" s="11" t="inlineStr">
        <is>
          <t>Conserve : contrairement aux forums emploi voisins, l'audience annoncee est l'employeur et non le demandeur d'emploi.</t>
        </is>
      </c>
      <c r="Y71" s="7" t="inlineStr">
        <is>
          <t>0</t>
        </is>
      </c>
      <c r="Z71" s="7" t="inlineStr">
        <is>
          <t>Générique / Transversal</t>
        </is>
      </c>
      <c r="AA71" s="7" t="inlineStr"/>
      <c r="AB71" s="7" t="inlineStr"/>
      <c r="AC71" s="7" t="inlineStr"/>
      <c r="AD71" s="7" t="inlineStr">
        <is>
          <t>2</t>
        </is>
      </c>
      <c r="AE71" s="7" t="inlineStr">
        <is>
          <t>0</t>
        </is>
      </c>
      <c r="AF71" s="7" t="inlineStr">
        <is>
          <t>Générique / Multi-éditeurs / Sans dominante</t>
        </is>
      </c>
      <c r="AG71" s="8" t="inlineStr">
        <is>
          <t>estimé</t>
        </is>
      </c>
      <c r="AH71" s="12" t="inlineStr">
        <is>
          <t>Aucune dimension logicielle dans le positionnement de l'organisateur : rattache au 0 (sans dominante) plutot que laisse vide, conformement a la demande de non-vide</t>
        </is>
      </c>
      <c r="AI71" s="7" t="inlineStr">
        <is>
          <t>3</t>
        </is>
      </c>
      <c r="AJ71" s="7" t="inlineStr">
        <is>
          <t>41-120</t>
        </is>
      </c>
      <c r="AK71" s="8" t="inlineStr">
        <is>
          <t>estimé</t>
        </is>
      </c>
      <c r="AL71" s="7" t="inlineStr">
        <is>
          <t>estimation : 120 a 120 participants</t>
        </is>
      </c>
      <c r="AM71" s="11" t="inlineStr">
        <is>
          <t>Modele de format (conference technique ou sectorielle), fourchette 120-120, plafonnee par la capacite du lieu (CCI Paris, 11 rue Leon Jouhaux ~ 120)</t>
        </is>
      </c>
      <c r="AN71" s="7" t="inlineStr">
        <is>
          <t>moyenne</t>
        </is>
      </c>
      <c r="AO71" s="7" t="inlineStr">
        <is>
          <t>1</t>
        </is>
      </c>
      <c r="AP71" s="7" t="inlineStr">
        <is>
          <t>Décideurs PME/ETI</t>
        </is>
      </c>
      <c r="AQ71" s="8" t="inlineStr">
        <is>
          <t>estimé</t>
        </is>
      </c>
      <c r="AR71" s="12" t="inlineStr">
        <is>
          <t>Organisateur CCI : public cible structurel de dirigeants et collaborateurs de TPE-PME</t>
        </is>
      </c>
      <c r="AS71" s="7" t="inlineStr">
        <is>
          <t>2</t>
        </is>
      </c>
      <c r="AT71" s="7" t="inlineStr">
        <is>
          <t>Moyen</t>
        </is>
      </c>
      <c r="AU71" s="7" t="inlineStr">
        <is>
          <t>constaté</t>
        </is>
      </c>
      <c r="AV71" s="12" t="inlineStr"/>
      <c r="AW71" s="7" t="inlineStr">
        <is>
          <t>S:0 L:0 N:3 P:1 A:2</t>
        </is>
      </c>
    </row>
    <row r="72">
      <c r="A72" s="10" t="inlineStr">
        <is>
          <t>Salon Effervescence 93 - edition 2026</t>
        </is>
      </c>
      <c r="B72" s="10" t="inlineStr">
        <is>
          <t>CCI Paris Ile-de-France</t>
        </is>
      </c>
      <c r="C72" s="10" t="inlineStr">
        <is>
          <t>2026-10-01</t>
        </is>
      </c>
      <c r="D72" s="10" t="inlineStr"/>
      <c r="E72" s="10" t="inlineStr"/>
      <c r="F72" s="10" t="inlineStr">
        <is>
          <t>non identifié publiquement</t>
        </is>
      </c>
      <c r="G72" s="10" t="inlineStr">
        <is>
          <t>Espace Lumiere, 6 avenue de Lattre de Tassigny</t>
        </is>
      </c>
      <c r="H72" s="10" t="inlineStr">
        <is>
          <t>Epinay-sur-Seine</t>
        </is>
      </c>
      <c r="I72" s="10" t="inlineStr">
        <is>
          <t>93</t>
        </is>
      </c>
      <c r="J72" s="10" t="inlineStr">
        <is>
          <t>présentiel</t>
        </is>
      </c>
      <c r="K72" s="11" t="inlineStr">
        <is>
          <t>Salon economique territorial de Seine-Saint-Denis reunissant entreprises et partenaires du developpement economique.</t>
        </is>
      </c>
      <c r="L72" s="11" t="inlineStr">
        <is>
          <t>non identifié publiquement</t>
        </is>
      </c>
      <c r="M72" s="10" t="inlineStr">
        <is>
          <t>Tous secteurs</t>
        </is>
      </c>
      <c r="N72" s="10" t="inlineStr">
        <is>
          <t>non identifié publiquement</t>
        </is>
      </c>
      <c r="O72" s="10" t="inlineStr">
        <is>
          <t>non identifié publiquement</t>
        </is>
      </c>
      <c r="P72" s="10" t="inlineStr"/>
      <c r="Q72" s="11" t="inlineStr"/>
      <c r="R72" s="10" t="inlineStr">
        <is>
          <t>inscription libre</t>
        </is>
      </c>
      <c r="S72" s="10" t="inlineStr">
        <is>
          <t>non</t>
        </is>
      </c>
      <c r="T72" s="11" t="inlineStr"/>
      <c r="U72" s="10" t="inlineStr">
        <is>
          <t>non identifié publiquement</t>
        </is>
      </c>
      <c r="V72" s="10" t="inlineStr">
        <is>
          <t>https://www.entreprises.cci-paris-idf.fr/evenements/salon-effervescence-93-2026</t>
        </is>
      </c>
      <c r="W72" s="10" t="inlineStr">
        <is>
          <t>2026-09-15</t>
        </is>
      </c>
      <c r="X72" s="11" t="inlineStr">
        <is>
          <t>La CCI publie deux fiches distinctes pour ce salon (une entree exposants, une entree visiteurs) : une seule ligne conservee apres deduplication. URL de la seconde fiche : https://www.entreprises.cci-paris-idf.fr/evenements/salon-effervescence-93-visiteurs</t>
        </is>
      </c>
      <c r="Y72" s="7" t="inlineStr">
        <is>
          <t>0</t>
        </is>
      </c>
      <c r="Z72" s="7" t="inlineStr">
        <is>
          <t>Générique / Transversal</t>
        </is>
      </c>
      <c r="AA72" s="7" t="inlineStr"/>
      <c r="AB72" s="7" t="inlineStr"/>
      <c r="AC72" s="7" t="inlineStr">
        <is>
          <t>9|4</t>
        </is>
      </c>
      <c r="AD72" s="7" t="inlineStr">
        <is>
          <t>2</t>
        </is>
      </c>
      <c r="AE72" s="7" t="inlineStr">
        <is>
          <t>0</t>
        </is>
      </c>
      <c r="AF72" s="7" t="inlineStr">
        <is>
          <t>Générique / Multi-éditeurs / Sans dominante</t>
        </is>
      </c>
      <c r="AG72" s="8" t="inlineStr">
        <is>
          <t>estimé</t>
        </is>
      </c>
      <c r="AH72" s="12" t="inlineStr">
        <is>
          <t>Aucune dimension logicielle dans le positionnement de l'organisateur : rattache au 0 (sans dominante) plutot que laisse vide, conformement a la demande de non-vide</t>
        </is>
      </c>
      <c r="AI72" s="7" t="inlineStr">
        <is>
          <t>5</t>
        </is>
      </c>
      <c r="AJ72" s="7" t="inlineStr">
        <is>
          <t>401-2000</t>
        </is>
      </c>
      <c r="AK72" s="8" t="inlineStr">
        <is>
          <t>estimé</t>
        </is>
      </c>
      <c r="AL72" s="7" t="inlineStr">
        <is>
          <t>estimation : 300 a 1500 participants</t>
        </is>
      </c>
      <c r="AM72" s="11" t="inlineStr">
        <is>
          <t>Modele de format (salon economique territorial), fourchette 300-1500, plafonnee par la capacite du lieu (Espace Lumiere, 6 avenue de Lattre de Ta ~ 1500)</t>
        </is>
      </c>
      <c r="AN72" s="7" t="inlineStr">
        <is>
          <t>moyenne</t>
        </is>
      </c>
      <c r="AO72" s="7" t="inlineStr">
        <is>
          <t>9|4</t>
        </is>
      </c>
      <c r="AP72" s="7" t="inlineStr">
        <is>
          <t>Institutionnels / Secteur public + Partenaires / Prescripteurs / Consultants / Intégrateurs</t>
        </is>
      </c>
      <c r="AQ72" s="7" t="inlineStr">
        <is>
          <t>constaté</t>
        </is>
      </c>
      <c r="AR72" s="12" t="inlineStr"/>
      <c r="AS72" s="7" t="inlineStr">
        <is>
          <t>2</t>
        </is>
      </c>
      <c r="AT72" s="7" t="inlineStr">
        <is>
          <t>Moyen</t>
        </is>
      </c>
      <c r="AU72" s="7" t="inlineStr">
        <is>
          <t>constaté</t>
        </is>
      </c>
      <c r="AV72" s="12" t="inlineStr"/>
      <c r="AW72" s="7" t="inlineStr">
        <is>
          <t>S:0 L:0 N:5 P:9|4 A:2</t>
        </is>
      </c>
    </row>
    <row r="73">
      <c r="A73" s="10" t="inlineStr">
        <is>
          <t>Soiree tech du MEDEF - Quantique</t>
        </is>
      </c>
      <c r="B73" s="10" t="inlineStr">
        <is>
          <t>MEDEF</t>
        </is>
      </c>
      <c r="C73" s="10" t="inlineStr">
        <is>
          <t>2026-10-01</t>
        </is>
      </c>
      <c r="D73" s="10" t="inlineStr"/>
      <c r="E73" s="10" t="inlineStr"/>
      <c r="F73" s="10" t="inlineStr">
        <is>
          <t>non identifié publiquement</t>
        </is>
      </c>
      <c r="G73" s="10" t="inlineStr">
        <is>
          <t>non identifié publiquement</t>
        </is>
      </c>
      <c r="H73" s="10" t="inlineStr">
        <is>
          <t>Paris (arrondissement non communique)</t>
        </is>
      </c>
      <c r="I73" s="10" t="inlineStr">
        <is>
          <t>75</t>
        </is>
      </c>
      <c r="J73" s="10" t="inlineStr">
        <is>
          <t>présentiel</t>
        </is>
      </c>
      <c r="K73" s="11" t="inlineStr">
        <is>
          <t>Soiree thematique du MEDEF consacree aux technologies quantiques.</t>
        </is>
      </c>
      <c r="L73" s="11" t="inlineStr">
        <is>
          <t>non identifié publiquement</t>
        </is>
      </c>
      <c r="M73" s="10" t="inlineStr">
        <is>
          <t>Technologies quantiques, innovation</t>
        </is>
      </c>
      <c r="N73" s="10" t="inlineStr">
        <is>
          <t>non identifié publiquement</t>
        </is>
      </c>
      <c r="O73" s="10" t="inlineStr">
        <is>
          <t>non identifié publiquement</t>
        </is>
      </c>
      <c r="P73" s="10" t="inlineStr"/>
      <c r="Q73" s="11" t="inlineStr"/>
      <c r="R73" s="10" t="inlineStr">
        <is>
          <t>inscription libre</t>
        </is>
      </c>
      <c r="S73" s="10" t="inlineStr">
        <is>
          <t>non</t>
        </is>
      </c>
      <c r="T73" s="11" t="inlineStr"/>
      <c r="U73" s="10" t="inlineStr">
        <is>
          <t>non identifié publiquement</t>
        </is>
      </c>
      <c r="V73" s="10" t="inlineStr">
        <is>
          <t>https://lafrenchtech.gouv.fr/fr/evenements/soiree-tech-du-medef-quantique/</t>
        </is>
      </c>
      <c r="W73" s="10" t="inlineStr">
        <is>
          <t>2026-09-15</t>
        </is>
      </c>
      <c r="X73" s="11" t="inlineStr">
        <is>
          <t>Identifie via l'agregateur d'evenements de la Mission French Tech. A noter : l'agenda du MEDEF Ile-de-France affiche 'No Events' sur toute la periode, ces soirees sont portees par le MEDEF national.</t>
        </is>
      </c>
      <c r="Y73" s="7" t="inlineStr">
        <is>
          <t>4</t>
        </is>
      </c>
      <c r="Z73" s="7" t="inlineStr">
        <is>
          <t>Tech / IT / Logiciels / Télécom</t>
        </is>
      </c>
      <c r="AA73" s="7" t="inlineStr">
        <is>
          <t>0</t>
        </is>
      </c>
      <c r="AB73" s="7" t="inlineStr"/>
      <c r="AC73" s="7" t="inlineStr"/>
      <c r="AD73" s="7" t="inlineStr">
        <is>
          <t>2</t>
        </is>
      </c>
      <c r="AE73" s="7" t="inlineStr">
        <is>
          <t>0</t>
        </is>
      </c>
      <c r="AF73" s="7" t="inlineStr">
        <is>
          <t>Générique / Multi-éditeurs / Sans dominante</t>
        </is>
      </c>
      <c r="AG73" s="7" t="inlineStr">
        <is>
          <t>déduit</t>
        </is>
      </c>
      <c r="AH73" s="12" t="inlineStr">
        <is>
          <t>Deduit du secteur (axe 1)</t>
        </is>
      </c>
      <c r="AI73" s="7" t="inlineStr">
        <is>
          <t>3</t>
        </is>
      </c>
      <c r="AJ73" s="7" t="inlineStr">
        <is>
          <t>41-120</t>
        </is>
      </c>
      <c r="AK73" s="8" t="inlineStr">
        <is>
          <t>estimé</t>
        </is>
      </c>
      <c r="AL73" s="7" t="inlineStr">
        <is>
          <t>estimation : 25 a 80 participants</t>
        </is>
      </c>
      <c r="AM73" s="11" t="inlineStr">
        <is>
          <t>Modele de format (rendez-vous d'organisation patronale), fourchette 25-80</t>
        </is>
      </c>
      <c r="AN73" s="7" t="inlineStr">
        <is>
          <t>moyenne</t>
        </is>
      </c>
      <c r="AO73" s="7" t="inlineStr">
        <is>
          <t>5|6</t>
        </is>
      </c>
      <c r="AP73" s="7" t="inlineStr">
        <is>
          <t>Pairs / Concurrents / Acteurs de l'offre + Investisseurs / Écosystème financement</t>
        </is>
      </c>
      <c r="AQ73" s="8" t="inlineStr">
        <is>
          <t>estimé</t>
        </is>
      </c>
      <c r="AR73" s="12" t="inlineStr">
        <is>
          <t>Evenement d'ecosysteme startup : acteurs de l'offre et investisseurs</t>
        </is>
      </c>
      <c r="AS73" s="7" t="inlineStr">
        <is>
          <t>2</t>
        </is>
      </c>
      <c r="AT73" s="7" t="inlineStr">
        <is>
          <t>Moyen</t>
        </is>
      </c>
      <c r="AU73" s="7" t="inlineStr">
        <is>
          <t>constaté</t>
        </is>
      </c>
      <c r="AV73" s="12" t="inlineStr"/>
      <c r="AW73" s="7" t="inlineStr">
        <is>
          <t>S:4 L:0 N:3 P:5|6 A:2</t>
        </is>
      </c>
    </row>
    <row r="74">
      <c r="A74" s="10" t="inlineStr">
        <is>
          <t>Table ronde : creer de l'impact quand on est entrepreneure</t>
        </is>
      </c>
      <c r="B74" s="10" t="inlineStr">
        <is>
          <t>CCI Paris Ile-de-France</t>
        </is>
      </c>
      <c r="C74" s="10" t="inlineStr">
        <is>
          <t>2026-10-01</t>
        </is>
      </c>
      <c r="D74" s="10" t="inlineStr"/>
      <c r="E74" s="10" t="inlineStr"/>
      <c r="F74" s="10" t="inlineStr">
        <is>
          <t>non identifié publiquement</t>
        </is>
      </c>
      <c r="G74" s="10" t="inlineStr">
        <is>
          <t>EM Normandie, 30-32 rue Henri Barbusse</t>
        </is>
      </c>
      <c r="H74" s="10" t="inlineStr">
        <is>
          <t>Clichy</t>
        </is>
      </c>
      <c r="I74" s="10" t="inlineStr">
        <is>
          <t>92</t>
        </is>
      </c>
      <c r="J74" s="10" t="inlineStr">
        <is>
          <t>présentiel</t>
        </is>
      </c>
      <c r="K74" s="11" t="inlineStr">
        <is>
          <t>Table ronde sur l'entrepreneuriat a impact au feminin.</t>
        </is>
      </c>
      <c r="L74" s="11" t="inlineStr">
        <is>
          <t>entrepreneures</t>
        </is>
      </c>
      <c r="M74" s="10" t="inlineStr">
        <is>
          <t>Tous secteurs</t>
        </is>
      </c>
      <c r="N74" s="10" t="inlineStr">
        <is>
          <t>non identifié publiquement</t>
        </is>
      </c>
      <c r="O74" s="10" t="inlineStr">
        <is>
          <t>non identifié publiquement</t>
        </is>
      </c>
      <c r="P74" s="10" t="inlineStr"/>
      <c r="Q74" s="11" t="inlineStr"/>
      <c r="R74" s="10" t="inlineStr">
        <is>
          <t>inscription libre</t>
        </is>
      </c>
      <c r="S74" s="10" t="inlineStr">
        <is>
          <t>non</t>
        </is>
      </c>
      <c r="T74" s="11" t="inlineStr"/>
      <c r="U74" s="10" t="inlineStr">
        <is>
          <t>non identifié publiquement</t>
        </is>
      </c>
      <c r="V74" s="10" t="inlineStr">
        <is>
          <t>https://www.entreprises.cci-paris-idf.fr/evenements/table-ronde-creer-de-limpact-quand-est-entrepreneure</t>
        </is>
      </c>
      <c r="W74" s="10" t="inlineStr">
        <is>
          <t>2026-09-15</t>
        </is>
      </c>
      <c r="X74" s="11" t="inlineStr">
        <is>
          <t>Public annonce 'entrepreneure' : peut recouvrir des dirigeantes de PME comme des independantes. Conserve, a arbitrer.</t>
        </is>
      </c>
      <c r="Y74" s="7" t="inlineStr">
        <is>
          <t>0</t>
        </is>
      </c>
      <c r="Z74" s="7" t="inlineStr">
        <is>
          <t>Générique / Transversal</t>
        </is>
      </c>
      <c r="AA74" s="7" t="inlineStr"/>
      <c r="AB74" s="7" t="inlineStr"/>
      <c r="AC74" s="7" t="inlineStr">
        <is>
          <t>1</t>
        </is>
      </c>
      <c r="AD74" s="7" t="inlineStr">
        <is>
          <t>2</t>
        </is>
      </c>
      <c r="AE74" s="7" t="inlineStr">
        <is>
          <t>0</t>
        </is>
      </c>
      <c r="AF74" s="7" t="inlineStr">
        <is>
          <t>Générique / Multi-éditeurs / Sans dominante</t>
        </is>
      </c>
      <c r="AG74" s="8" t="inlineStr">
        <is>
          <t>estimé</t>
        </is>
      </c>
      <c r="AH74" s="12" t="inlineStr">
        <is>
          <t>Aucune dimension logicielle dans le positionnement de l'organisateur : rattache au 0 (sans dominante) plutot que laisse vide, conformement a la demande de non-vide</t>
        </is>
      </c>
      <c r="AI74" s="7" t="inlineStr">
        <is>
          <t>2</t>
        </is>
      </c>
      <c r="AJ74" s="7" t="inlineStr">
        <is>
          <t>16-40</t>
        </is>
      </c>
      <c r="AK74" s="8" t="inlineStr">
        <is>
          <t>estimé</t>
        </is>
      </c>
      <c r="AL74" s="7" t="inlineStr">
        <is>
          <t>estimation : 15 a 60 participants</t>
        </is>
      </c>
      <c r="AM74" s="11" t="inlineStr">
        <is>
          <t>Modele de format (rendez-vous de chambre de commerce (atelier ou conference)), fourchette 15-60</t>
        </is>
      </c>
      <c r="AN74" s="7" t="inlineStr">
        <is>
          <t>moyenne</t>
        </is>
      </c>
      <c r="AO74" s="7" t="inlineStr">
        <is>
          <t>1</t>
        </is>
      </c>
      <c r="AP74" s="7" t="inlineStr">
        <is>
          <t>Décideurs PME/ETI</t>
        </is>
      </c>
      <c r="AQ74" s="7" t="inlineStr">
        <is>
          <t>constaté</t>
        </is>
      </c>
      <c r="AR74" s="12" t="inlineStr"/>
      <c r="AS74" s="7" t="inlineStr">
        <is>
          <t>2</t>
        </is>
      </c>
      <c r="AT74" s="7" t="inlineStr">
        <is>
          <t>Moyen</t>
        </is>
      </c>
      <c r="AU74" s="7" t="inlineStr">
        <is>
          <t>constaté</t>
        </is>
      </c>
      <c r="AV74" s="12" t="inlineStr"/>
      <c r="AW74" s="7" t="inlineStr">
        <is>
          <t>S:0 L:0 N:2 P:1 A:2</t>
        </is>
      </c>
    </row>
    <row r="75">
      <c r="A75" s="10" t="inlineStr">
        <is>
          <t>Tranoi Paris 2026</t>
        </is>
      </c>
      <c r="B75" s="10" t="inlineStr">
        <is>
          <t>Premiere Vision / Tranoi</t>
        </is>
      </c>
      <c r="C75" s="10" t="inlineStr">
        <is>
          <t>2026-10-01</t>
        </is>
      </c>
      <c r="D75" s="10" t="inlineStr">
        <is>
          <t>2026-10-04</t>
        </is>
      </c>
      <c r="E75" s="10" t="inlineStr"/>
      <c r="F75" s="10" t="inlineStr">
        <is>
          <t>annuel (2 editions par an)</t>
        </is>
      </c>
      <c r="G75" s="10" t="inlineStr">
        <is>
          <t>Palais Brongniart</t>
        </is>
      </c>
      <c r="H75" s="10" t="inlineStr">
        <is>
          <t>Paris 2e</t>
        </is>
      </c>
      <c r="I75" s="10" t="inlineStr">
        <is>
          <t>75</t>
        </is>
      </c>
      <c r="J75" s="10" t="inlineStr">
        <is>
          <t>présentiel</t>
        </is>
      </c>
      <c r="K75" s="11" t="inlineStr">
        <is>
          <t>Le rendez-vous des acheteurs et des créateurs de prêt-à-porter, accessoires et lifestyle, à la découverte des tendances à venir</t>
        </is>
      </c>
      <c r="L75" s="11" t="inlineStr">
        <is>
          <t>Visitorat : réservé aux professionnels (fiche CCI Paris Ile-de-France)</t>
        </is>
      </c>
      <c r="M75" s="10" t="inlineStr">
        <is>
          <t>Textile, habillement, chaussures, maroquinerie, bijouterie et accessoires de mode</t>
        </is>
      </c>
      <c r="N75" s="10" t="inlineStr">
        <is>
          <t>non identifié publiquement</t>
        </is>
      </c>
      <c r="O75" s="10" t="inlineStr">
        <is>
          <t>non identifié publiquement</t>
        </is>
      </c>
      <c r="P75" s="10" t="inlineStr">
        <is>
          <t>ESTIME</t>
        </is>
      </c>
      <c r="Q75" s="11" t="inlineStr">
        <is>
          <t>Aucun chiffre publie pour l'edition d'octobre 2026 ; ordres de grandeur des deux editions precedentes, publies par l'organisateur</t>
        </is>
      </c>
      <c r="R75" s="10" t="inlineStr">
        <is>
          <t>inscription libre</t>
        </is>
      </c>
      <c r="S75" s="10" t="inlineStr">
        <is>
          <t>oui</t>
        </is>
      </c>
      <c r="T75" s="11" t="inlineStr">
        <is>
          <t>Salon reserve aux acheteurs professionnels du pret-a-porter</t>
        </is>
      </c>
      <c r="U75" s="10" t="inlineStr">
        <is>
          <t>non identifié publiquement</t>
        </is>
      </c>
      <c r="V75" s="10" t="inlineStr">
        <is>
          <t>https://www.cci-paris-idf.fr/fr/evenements-salons/salons-foires-paris-ile-de-france/tranoi-paris</t>
        </is>
      </c>
      <c r="W75" s="10" t="inlineStr">
        <is>
          <t>2026-09-15</t>
        </is>
      </c>
      <c r="X75" s="11" t="inlineStr"/>
      <c r="Y75" s="7" t="inlineStr">
        <is>
          <t>1</t>
        </is>
      </c>
      <c r="Z75" s="7" t="inlineStr">
        <is>
          <t>Luxe / Mode / Beauté / Joaillerie</t>
        </is>
      </c>
      <c r="AA75" s="7" t="inlineStr"/>
      <c r="AB75" s="7" t="inlineStr"/>
      <c r="AC75" s="7" t="inlineStr"/>
      <c r="AD75" s="7" t="inlineStr">
        <is>
          <t>2</t>
        </is>
      </c>
      <c r="AE75" s="7" t="inlineStr">
        <is>
          <t>0</t>
        </is>
      </c>
      <c r="AF75" s="7" t="inlineStr">
        <is>
          <t>Générique / Multi-éditeurs / Sans dominante</t>
        </is>
      </c>
      <c r="AG75" s="8" t="inlineStr">
        <is>
          <t>estimé</t>
        </is>
      </c>
      <c r="AH75" s="12" t="inlineStr">
        <is>
          <t>Aucune dimension logicielle dans le positionnement de l'organisateur : rattache au 0 (sans dominante) plutot que laisse vide, conformement a la demande de non-vide</t>
        </is>
      </c>
      <c r="AI75" s="7" t="inlineStr">
        <is>
          <t>4</t>
        </is>
      </c>
      <c r="AJ75" s="7" t="inlineStr">
        <is>
          <t>121-400</t>
        </is>
      </c>
      <c r="AK75" s="8" t="inlineStr">
        <is>
          <t>estimé</t>
        </is>
      </c>
      <c r="AL75" s="7" t="inlineStr">
        <is>
          <t>plus de 200 marques d'une trentaine de pays a l'edition d'octobre 2025 ; 180 marques en mars 2026</t>
        </is>
      </c>
      <c r="AM75" s="11" t="inlineStr">
        <is>
          <t>Aucun chiffre publie pour l'edition d'octobre 2026 ; ordres de grandeur des deux editions precedentes, publies par l'organisateur</t>
        </is>
      </c>
      <c r="AN75" s="7" t="inlineStr">
        <is>
          <t>haute</t>
        </is>
      </c>
      <c r="AO75" s="7" t="inlineStr">
        <is>
          <t>1</t>
        </is>
      </c>
      <c r="AP75" s="7" t="inlineStr">
        <is>
          <t>Décideurs PME/ETI</t>
        </is>
      </c>
      <c r="AQ75" s="8" t="inlineStr">
        <is>
          <t>estimé</t>
        </is>
      </c>
      <c r="AR75" s="12" t="inlineStr">
        <is>
          <t>Par defaut, evenement B2B francilien : decideurs PME/ETI</t>
        </is>
      </c>
      <c r="AS75" s="7" t="inlineStr">
        <is>
          <t>2</t>
        </is>
      </c>
      <c r="AT75" s="7" t="inlineStr">
        <is>
          <t>Moyen</t>
        </is>
      </c>
      <c r="AU75" s="7" t="inlineStr">
        <is>
          <t>constaté</t>
        </is>
      </c>
      <c r="AV75" s="12" t="inlineStr"/>
      <c r="AW75" s="7" t="inlineStr">
        <is>
          <t>S:1 L:0 N:4 P:1 A:2</t>
        </is>
      </c>
    </row>
    <row r="76">
      <c r="A76" s="10" t="inlineStr">
        <is>
          <t>Business Cafe : le BFR, un levier strategique pour preserver votre tresorerie</t>
        </is>
      </c>
      <c r="B76" s="10" t="inlineStr">
        <is>
          <t>CCI Paris Ile-de-France</t>
        </is>
      </c>
      <c r="C76" s="10" t="inlineStr">
        <is>
          <t>2026-10-02</t>
        </is>
      </c>
      <c r="D76" s="10" t="inlineStr"/>
      <c r="E76" s="10" t="inlineStr"/>
      <c r="F76" s="10" t="inlineStr">
        <is>
          <t>non identifié publiquement</t>
        </is>
      </c>
      <c r="G76" s="10" t="inlineStr">
        <is>
          <t>CCI Hauts-de-Seine - Coeur Defense, Tour A, 2e etage</t>
        </is>
      </c>
      <c r="H76" s="10" t="inlineStr">
        <is>
          <t>Courbevoie (quartier Paris La Defense)</t>
        </is>
      </c>
      <c r="I76" s="10" t="inlineStr">
        <is>
          <t>92</t>
        </is>
      </c>
      <c r="J76" s="10" t="inlineStr">
        <is>
          <t>présentiel</t>
        </is>
      </c>
      <c r="K76" s="11" t="inlineStr">
        <is>
          <t>Atelier sur la gestion du besoin en fonds de roulement et de la tresorerie.</t>
        </is>
      </c>
      <c r="L76" s="11" t="inlineStr">
        <is>
          <t>non identifié publiquement</t>
        </is>
      </c>
      <c r="M76" s="10" t="inlineStr">
        <is>
          <t>Finance d'entreprise</t>
        </is>
      </c>
      <c r="N76" s="10" t="inlineStr">
        <is>
          <t>non identifié publiquement</t>
        </is>
      </c>
      <c r="O76" s="10" t="inlineStr">
        <is>
          <t>non identifié publiquement</t>
        </is>
      </c>
      <c r="P76" s="10" t="inlineStr"/>
      <c r="Q76" s="11" t="inlineStr"/>
      <c r="R76" s="10" t="inlineStr">
        <is>
          <t>inscription libre</t>
        </is>
      </c>
      <c r="S76" s="10" t="inlineStr">
        <is>
          <t>non</t>
        </is>
      </c>
      <c r="T76" s="11" t="inlineStr"/>
      <c r="U76" s="10" t="inlineStr">
        <is>
          <t>non identifié publiquement</t>
        </is>
      </c>
      <c r="V76" s="10" t="inlineStr">
        <is>
          <t>https://www.entreprises.cci-paris-idf.fr/evenements/business-cafe-le-bfr-un-levier-strategique-pour-preserver-votre-tresorerie</t>
        </is>
      </c>
      <c r="W76" s="10" t="inlineStr">
        <is>
          <t>2026-09-15</t>
        </is>
      </c>
      <c r="X76" s="11" t="inlineStr"/>
      <c r="Y76" s="7" t="inlineStr">
        <is>
          <t>8</t>
        </is>
      </c>
      <c r="Z76" s="7" t="inlineStr">
        <is>
          <t>Finance / Banque / Assurance</t>
        </is>
      </c>
      <c r="AA76" s="7" t="inlineStr"/>
      <c r="AB76" s="7" t="inlineStr"/>
      <c r="AC76" s="7" t="inlineStr">
        <is>
          <t>6</t>
        </is>
      </c>
      <c r="AD76" s="7" t="inlineStr">
        <is>
          <t>2</t>
        </is>
      </c>
      <c r="AE76" s="7" t="inlineStr">
        <is>
          <t>0</t>
        </is>
      </c>
      <c r="AF76" s="7" t="inlineStr">
        <is>
          <t>Générique / Multi-éditeurs / Sans dominante</t>
        </is>
      </c>
      <c r="AG76" s="8" t="inlineStr">
        <is>
          <t>estimé</t>
        </is>
      </c>
      <c r="AH76" s="12" t="inlineStr">
        <is>
          <t>Aucune dimension logicielle dans le positionnement de l'organisateur : rattache au 0 (sans dominante) plutot que laisse vide, conformement a la demande de non-vide</t>
        </is>
      </c>
      <c r="AI76" s="7" t="inlineStr">
        <is>
          <t>2</t>
        </is>
      </c>
      <c r="AJ76" s="7" t="inlineStr">
        <is>
          <t>16-40</t>
        </is>
      </c>
      <c r="AK76" s="8" t="inlineStr">
        <is>
          <t>estimé</t>
        </is>
      </c>
      <c r="AL76" s="7" t="inlineStr">
        <is>
          <t>estimation : 10 a 30 participants</t>
        </is>
      </c>
      <c r="AM76" s="11" t="inlineStr">
        <is>
          <t>Modele de format (atelier ou formation en chambre de commerce), fourchette 10-30, plafonnee par la capacite du lieu (CCI Hauts-de-Seine - Coeur Defense, Tour ~ 120)</t>
        </is>
      </c>
      <c r="AN76" s="7" t="inlineStr">
        <is>
          <t>moyenne</t>
        </is>
      </c>
      <c r="AO76" s="7" t="inlineStr">
        <is>
          <t>6</t>
        </is>
      </c>
      <c r="AP76" s="7" t="inlineStr">
        <is>
          <t>Investisseurs / Écosystème financement</t>
        </is>
      </c>
      <c r="AQ76" s="7" t="inlineStr">
        <is>
          <t>constaté</t>
        </is>
      </c>
      <c r="AR76" s="12" t="inlineStr"/>
      <c r="AS76" s="7" t="inlineStr">
        <is>
          <t>2</t>
        </is>
      </c>
      <c r="AT76" s="7" t="inlineStr">
        <is>
          <t>Moyen</t>
        </is>
      </c>
      <c r="AU76" s="7" t="inlineStr">
        <is>
          <t>constaté</t>
        </is>
      </c>
      <c r="AV76" s="12" t="inlineStr"/>
      <c r="AW76" s="7" t="inlineStr">
        <is>
          <t>S:8 L:0 N:2 P:6 A:2</t>
        </is>
      </c>
    </row>
    <row r="77">
      <c r="A77" s="10" t="inlineStr">
        <is>
          <t>Premiere Classe Paris - octobre 2026</t>
        </is>
      </c>
      <c r="B77" s="10" t="inlineStr">
        <is>
          <t>WSN Developpement (Who's Next)</t>
        </is>
      </c>
      <c r="C77" s="10" t="inlineStr">
        <is>
          <t>2026-10-02</t>
        </is>
      </c>
      <c r="D77" s="10" t="inlineStr">
        <is>
          <t>2026-10-05</t>
        </is>
      </c>
      <c r="E77" s="10" t="inlineStr"/>
      <c r="F77" s="10" t="inlineStr">
        <is>
          <t>annuel (2 editions par an)</t>
        </is>
      </c>
      <c r="G77" s="10" t="inlineStr">
        <is>
          <t>Jardin des Tuileries</t>
        </is>
      </c>
      <c r="H77" s="10" t="inlineStr">
        <is>
          <t>Paris 1er</t>
        </is>
      </c>
      <c r="I77" s="10" t="inlineStr">
        <is>
          <t>75</t>
        </is>
      </c>
      <c r="J77" s="10" t="inlineStr">
        <is>
          <t>présentiel</t>
        </is>
      </c>
      <c r="K77" s="11" t="inlineStr">
        <is>
          <t>Le rendez-vous dédié aux tendances prêt-à-porter et aux accéssoires de la saison à venir</t>
        </is>
      </c>
      <c r="L77" s="11" t="inlineStr">
        <is>
          <t>Visitorat : réservé aux professionnels (fiche CCI Paris Ile-de-France)</t>
        </is>
      </c>
      <c r="M77" s="10" t="inlineStr">
        <is>
          <t>Textile, habillement, chaussures, maroquinerie, bijouterie et accessoires de mode</t>
        </is>
      </c>
      <c r="N77" s="10" t="inlineStr">
        <is>
          <t>non identifié publiquement</t>
        </is>
      </c>
      <c r="O77" s="10" t="inlineStr">
        <is>
          <t>non identifié publiquement</t>
        </is>
      </c>
      <c r="P77" s="10" t="inlineStr">
        <is>
          <t>CONFIRME</t>
        </is>
      </c>
      <c r="Q77" s="11" t="inlineStr">
        <is>
          <t>Chiffres publies par WSN Developpement pour Premiere Classe, relayes par Neventum</t>
        </is>
      </c>
      <c r="R77" s="10" t="inlineStr">
        <is>
          <t>inscription libre</t>
        </is>
      </c>
      <c r="S77" s="10" t="inlineStr">
        <is>
          <t>oui</t>
        </is>
      </c>
      <c r="T77" s="11" t="inlineStr">
        <is>
          <t>Salon reserve aux acheteurs, marques, showrooms et presse mode</t>
        </is>
      </c>
      <c r="U77" s="10" t="inlineStr">
        <is>
          <t>non identifié publiquement</t>
        </is>
      </c>
      <c r="V77" s="10" t="inlineStr">
        <is>
          <t>https://www.cci-paris-idf.fr/fr/evenements-salons/salons-foires-paris-ile-de-france/premiere-classe</t>
        </is>
      </c>
      <c r="W77" s="10" t="inlineStr">
        <is>
          <t>2026-09-15</t>
        </is>
      </c>
      <c r="X77" s="11" t="inlineStr"/>
      <c r="Y77" s="7" t="inlineStr">
        <is>
          <t>1</t>
        </is>
      </c>
      <c r="Z77" s="7" t="inlineStr">
        <is>
          <t>Luxe / Mode / Beauté / Joaillerie</t>
        </is>
      </c>
      <c r="AA77" s="7" t="inlineStr"/>
      <c r="AB77" s="7" t="inlineStr"/>
      <c r="AC77" s="7" t="inlineStr"/>
      <c r="AD77" s="7" t="inlineStr">
        <is>
          <t>2</t>
        </is>
      </c>
      <c r="AE77" s="7" t="inlineStr">
        <is>
          <t>0</t>
        </is>
      </c>
      <c r="AF77" s="7" t="inlineStr">
        <is>
          <t>Générique / Multi-éditeurs / Sans dominante</t>
        </is>
      </c>
      <c r="AG77" s="8" t="inlineStr">
        <is>
          <t>estimé</t>
        </is>
      </c>
      <c r="AH77" s="12" t="inlineStr">
        <is>
          <t>Aucune dimension logicielle dans le positionnement de l'organisateur : rattache au 0 (sans dominante) plutot que laisse vide, conformement a la demande de non-vide</t>
        </is>
      </c>
      <c r="AI77" s="7" t="inlineStr">
        <is>
          <t>6</t>
        </is>
      </c>
      <c r="AJ77" s="7" t="inlineStr">
        <is>
          <t>&gt;2000</t>
        </is>
      </c>
      <c r="AK77" s="7" t="inlineStr">
        <is>
          <t>constaté</t>
        </is>
      </c>
      <c r="AL77" s="7" t="inlineStr">
        <is>
          <t>environ 13 000 visiteurs par edition (69 % internationaux), environ 400 exposants</t>
        </is>
      </c>
      <c r="AM77" s="11" t="inlineStr">
        <is>
          <t>Chiffres publies par WSN Developpement pour Premiere Classe, relayes par Neventum</t>
        </is>
      </c>
      <c r="AN77" s="7" t="inlineStr">
        <is>
          <t>haute</t>
        </is>
      </c>
      <c r="AO77" s="7" t="inlineStr">
        <is>
          <t>1</t>
        </is>
      </c>
      <c r="AP77" s="7" t="inlineStr">
        <is>
          <t>Décideurs PME/ETI</t>
        </is>
      </c>
      <c r="AQ77" s="8" t="inlineStr">
        <is>
          <t>estimé</t>
        </is>
      </c>
      <c r="AR77" s="12" t="inlineStr">
        <is>
          <t>Par defaut, evenement B2B francilien : decideurs PME/ETI</t>
        </is>
      </c>
      <c r="AS77" s="7" t="inlineStr">
        <is>
          <t>2</t>
        </is>
      </c>
      <c r="AT77" s="7" t="inlineStr">
        <is>
          <t>Moyen</t>
        </is>
      </c>
      <c r="AU77" s="7" t="inlineStr">
        <is>
          <t>constaté</t>
        </is>
      </c>
      <c r="AV77" s="12" t="inlineStr"/>
      <c r="AW77" s="7" t="inlineStr">
        <is>
          <t>S:1 L:0 N:6 P:1 A:2</t>
        </is>
      </c>
    </row>
    <row r="78">
      <c r="A78" s="10" t="inlineStr">
        <is>
          <t>Collaborateurs seniors : un atout pour la performance de votre entreprise</t>
        </is>
      </c>
      <c r="B78" s="10" t="inlineStr">
        <is>
          <t>CCI Paris Ile-de-France</t>
        </is>
      </c>
      <c r="C78" s="10" t="inlineStr">
        <is>
          <t>2026-10-05</t>
        </is>
      </c>
      <c r="D78" s="10" t="inlineStr"/>
      <c r="E78" s="10" t="inlineStr"/>
      <c r="F78" s="10" t="inlineStr">
        <is>
          <t>non identifié publiquement</t>
        </is>
      </c>
      <c r="G78" s="10" t="inlineStr">
        <is>
          <t>CCI Versailles-Yvelines, avenue de Paris</t>
        </is>
      </c>
      <c r="H78" s="10" t="inlineStr">
        <is>
          <t>Versailles</t>
        </is>
      </c>
      <c r="I78" s="10" t="inlineStr">
        <is>
          <t>78</t>
        </is>
      </c>
      <c r="J78" s="10" t="inlineStr">
        <is>
          <t>présentiel</t>
        </is>
      </c>
      <c r="K78" s="11" t="inlineStr">
        <is>
          <t>Atelier employeur sur l'emploi des seniors.</t>
        </is>
      </c>
      <c r="L78" s="11" t="inlineStr">
        <is>
          <t>employeurs</t>
        </is>
      </c>
      <c r="M78" s="10" t="inlineStr">
        <is>
          <t>RH</t>
        </is>
      </c>
      <c r="N78" s="10" t="inlineStr">
        <is>
          <t>non identifié publiquement</t>
        </is>
      </c>
      <c r="O78" s="10" t="inlineStr">
        <is>
          <t>non identifié publiquement</t>
        </is>
      </c>
      <c r="P78" s="10" t="inlineStr"/>
      <c r="Q78" s="11" t="inlineStr"/>
      <c r="R78" s="10" t="inlineStr">
        <is>
          <t>inscription libre</t>
        </is>
      </c>
      <c r="S78" s="10" t="inlineStr">
        <is>
          <t>non</t>
        </is>
      </c>
      <c r="T78" s="11" t="inlineStr"/>
      <c r="U78" s="10" t="inlineStr">
        <is>
          <t>non identifié publiquement</t>
        </is>
      </c>
      <c r="V78" s="10" t="inlineStr">
        <is>
          <t>https://www.entreprises.cci-paris-idf.fr/evenements/collaborateurs-seniors-un-atout-pour-la-performance-de-votre-entreprise</t>
        </is>
      </c>
      <c r="W78" s="10" t="inlineStr">
        <is>
          <t>2026-09-15</t>
        </is>
      </c>
      <c r="X78" s="11" t="inlineStr"/>
      <c r="Y78" s="7" t="inlineStr">
        <is>
          <t>0</t>
        </is>
      </c>
      <c r="Z78" s="7" t="inlineStr">
        <is>
          <t>Générique / Transversal</t>
        </is>
      </c>
      <c r="AA78" s="7" t="inlineStr"/>
      <c r="AB78" s="7" t="inlineStr"/>
      <c r="AC78" s="7" t="inlineStr"/>
      <c r="AD78" s="7" t="inlineStr">
        <is>
          <t>2</t>
        </is>
      </c>
      <c r="AE78" s="7" t="inlineStr">
        <is>
          <t>0</t>
        </is>
      </c>
      <c r="AF78" s="7" t="inlineStr">
        <is>
          <t>Générique / Multi-éditeurs / Sans dominante</t>
        </is>
      </c>
      <c r="AG78" s="8" t="inlineStr">
        <is>
          <t>estimé</t>
        </is>
      </c>
      <c r="AH78" s="12" t="inlineStr">
        <is>
          <t>Aucune dimension logicielle dans le positionnement de l'organisateur : rattache au 0 (sans dominante) plutot que laisse vide, conformement a la demande de non-vide</t>
        </is>
      </c>
      <c r="AI78" s="7" t="inlineStr">
        <is>
          <t>2</t>
        </is>
      </c>
      <c r="AJ78" s="7" t="inlineStr">
        <is>
          <t>16-40</t>
        </is>
      </c>
      <c r="AK78" s="8" t="inlineStr">
        <is>
          <t>estimé</t>
        </is>
      </c>
      <c r="AL78" s="7" t="inlineStr">
        <is>
          <t>estimation : 15 a 60 participants</t>
        </is>
      </c>
      <c r="AM78" s="11" t="inlineStr">
        <is>
          <t>Modele de format (rendez-vous de chambre de commerce (atelier ou conference)), fourchette 15-60, plafonnee par la capacite du lieu (CCI Versailles-Yvelines, avenue de Paris ~ 120)</t>
        </is>
      </c>
      <c r="AN78" s="7" t="inlineStr">
        <is>
          <t>moyenne</t>
        </is>
      </c>
      <c r="AO78" s="7" t="inlineStr">
        <is>
          <t>1</t>
        </is>
      </c>
      <c r="AP78" s="7" t="inlineStr">
        <is>
          <t>Décideurs PME/ETI</t>
        </is>
      </c>
      <c r="AQ78" s="8" t="inlineStr">
        <is>
          <t>estimé</t>
        </is>
      </c>
      <c r="AR78" s="12" t="inlineStr">
        <is>
          <t>Organisateur CCI : public cible structurel de dirigeants et collaborateurs de TPE-PME</t>
        </is>
      </c>
      <c r="AS78" s="7" t="inlineStr">
        <is>
          <t>2</t>
        </is>
      </c>
      <c r="AT78" s="7" t="inlineStr">
        <is>
          <t>Moyen</t>
        </is>
      </c>
      <c r="AU78" s="7" t="inlineStr">
        <is>
          <t>constaté</t>
        </is>
      </c>
      <c r="AV78" s="12" t="inlineStr"/>
      <c r="AW78" s="7" t="inlineStr">
        <is>
          <t>S:0 L:0 N:2 P:1 A:2</t>
        </is>
      </c>
    </row>
    <row r="79">
      <c r="A79" s="10" t="inlineStr">
        <is>
          <t>Conference : sante mentale des entrepreneurs, un enjeu de performance durable</t>
        </is>
      </c>
      <c r="B79" s="10" t="inlineStr">
        <is>
          <t>CPME Paris - Les Entrepreneurs Paris</t>
        </is>
      </c>
      <c r="C79" s="10" t="inlineStr">
        <is>
          <t>2026-10-05</t>
        </is>
      </c>
      <c r="D79" s="10" t="inlineStr"/>
      <c r="E79" s="10" t="inlineStr"/>
      <c r="F79" s="10" t="inlineStr">
        <is>
          <t>non identifié publiquement</t>
        </is>
      </c>
      <c r="G79" s="10" t="inlineStr">
        <is>
          <t>Harmonie Mutuelle</t>
        </is>
      </c>
      <c r="H79" s="10" t="inlineStr">
        <is>
          <t>non identifié publiquement</t>
        </is>
      </c>
      <c r="I79" s="10" t="inlineStr">
        <is>
          <t>75</t>
        </is>
      </c>
      <c r="J79" s="10" t="inlineStr">
        <is>
          <t>présentiel</t>
        </is>
      </c>
      <c r="K79" s="11" t="inlineStr">
        <is>
          <t>Découvrez comment identifier les facteurs qui fragilisent la santé mentale du dirigeant, mettre en place des leviers concrets pour préserver son équilibre et celui de son entreprise et bénéficier du r</t>
        </is>
      </c>
      <c r="L79" s="11" t="inlineStr">
        <is>
          <t>dirigeants et entrepreneurs adherents ou invites de la CPME Paris</t>
        </is>
      </c>
      <c r="M79" s="10" t="inlineStr">
        <is>
          <t>Sante au travail</t>
        </is>
      </c>
      <c r="N79" s="10" t="inlineStr">
        <is>
          <t>non identifié publiquement</t>
        </is>
      </c>
      <c r="O79" s="10" t="inlineStr">
        <is>
          <t>non identifié publiquement</t>
        </is>
      </c>
      <c r="P79" s="10" t="inlineStr"/>
      <c r="Q79" s="11" t="inlineStr"/>
      <c r="R79" s="10" t="inlineStr">
        <is>
          <t>réservé adhérents</t>
        </is>
      </c>
      <c r="S79" s="10" t="inlineStr">
        <is>
          <t>oui</t>
        </is>
      </c>
      <c r="T79" s="11" t="inlineStr">
        <is>
          <t>Evenement d'organisation patronale, oriente adherents CPME Paris</t>
        </is>
      </c>
      <c r="U79" s="10" t="inlineStr">
        <is>
          <t>non identifié publiquement</t>
        </is>
      </c>
      <c r="V79" s="10" t="inlineStr">
        <is>
          <t>https://cpmeparis.fr/agenda/</t>
        </is>
      </c>
      <c r="W79" s="10" t="inlineStr">
        <is>
          <t>2026-09-15</t>
        </is>
      </c>
      <c r="X79" s="11" t="inlineStr">
        <is>
          <t>Inscrit dans la Semaine de la Sante des Entrepreneurs organisee par la CPME Paris. Adresse du lieu Harmonie Mutuelle non communiquee sur la fiche.</t>
        </is>
      </c>
      <c r="Y79" s="7" t="inlineStr">
        <is>
          <t>7</t>
        </is>
      </c>
      <c r="Z79" s="7" t="inlineStr">
        <is>
          <t>Santé / Pharma / Biotech / Medtech</t>
        </is>
      </c>
      <c r="AA79" s="7" t="inlineStr"/>
      <c r="AB79" s="7" t="inlineStr"/>
      <c r="AC79" s="7" t="inlineStr">
        <is>
          <t>1</t>
        </is>
      </c>
      <c r="AD79" s="7" t="inlineStr">
        <is>
          <t>2</t>
        </is>
      </c>
      <c r="AE79" s="7" t="inlineStr">
        <is>
          <t>0</t>
        </is>
      </c>
      <c r="AF79" s="7" t="inlineStr">
        <is>
          <t>Générique / Multi-éditeurs / Sans dominante</t>
        </is>
      </c>
      <c r="AG79" s="8" t="inlineStr">
        <is>
          <t>estimé</t>
        </is>
      </c>
      <c r="AH79" s="12" t="inlineStr">
        <is>
          <t>Aucune dimension logicielle dans le positionnement de l'organisateur : rattache au 0 (sans dominante) plutot que laisse vide, conformement a la demande de non-vide</t>
        </is>
      </c>
      <c r="AI79" s="7" t="inlineStr">
        <is>
          <t>4</t>
        </is>
      </c>
      <c r="AJ79" s="7" t="inlineStr">
        <is>
          <t>121-400</t>
        </is>
      </c>
      <c r="AK79" s="8" t="inlineStr">
        <is>
          <t>estimé</t>
        </is>
      </c>
      <c r="AL79" s="7" t="inlineStr">
        <is>
          <t>estimation : 200 a 300 participants</t>
        </is>
      </c>
      <c r="AM79" s="11" t="inlineStr">
        <is>
          <t>Modele de format (conference technique ou sectorielle), fourchette 200-300, plafonnee par la capacite du lieu (Harmonie Mutuelle ~ 300)</t>
        </is>
      </c>
      <c r="AN79" s="7" t="inlineStr">
        <is>
          <t>moyenne</t>
        </is>
      </c>
      <c r="AO79" s="7" t="inlineStr">
        <is>
          <t>1</t>
        </is>
      </c>
      <c r="AP79" s="7" t="inlineStr">
        <is>
          <t>Décideurs PME/ETI</t>
        </is>
      </c>
      <c r="AQ79" s="7" t="inlineStr">
        <is>
          <t>constaté</t>
        </is>
      </c>
      <c r="AR79" s="12" t="inlineStr"/>
      <c r="AS79" s="7" t="inlineStr">
        <is>
          <t>2</t>
        </is>
      </c>
      <c r="AT79" s="7" t="inlineStr">
        <is>
          <t>Moyen</t>
        </is>
      </c>
      <c r="AU79" s="7" t="inlineStr">
        <is>
          <t>constaté</t>
        </is>
      </c>
      <c r="AV79" s="12" t="inlineStr"/>
      <c r="AW79" s="7" t="inlineStr">
        <is>
          <t>S:7 L:0 N:4 P:1 A:2</t>
        </is>
      </c>
    </row>
    <row r="80">
      <c r="A80" s="10" t="inlineStr">
        <is>
          <t>.NEXT On Tour Paris 2026</t>
        </is>
      </c>
      <c r="B80" s="10" t="inlineStr">
        <is>
          <t>Nutanix</t>
        </is>
      </c>
      <c r="C80" s="10" t="inlineStr">
        <is>
          <t>2026-10-06</t>
        </is>
      </c>
      <c r="D80" s="10" t="inlineStr">
        <is>
          <t>2026-10-07</t>
        </is>
      </c>
      <c r="E80" s="10" t="inlineStr"/>
      <c r="F80" s="10" t="inlineStr">
        <is>
          <t>non identifié publiquement</t>
        </is>
      </c>
      <c r="G80" s="10" t="inlineStr">
        <is>
          <t>Carrousel du Louvre</t>
        </is>
      </c>
      <c r="H80" s="10" t="inlineStr">
        <is>
          <t>Paris (arrondissement selon le lieu)</t>
        </is>
      </c>
      <c r="I80" s="10" t="inlineStr">
        <is>
          <t>75</t>
        </is>
      </c>
      <c r="J80" s="10" t="inlineStr">
        <is>
          <t>présentiel</t>
        </is>
      </c>
      <c r="K80" s="11" t="inlineStr">
        <is>
          <t>Nutanix .NEXT on Tour, 7-8 octobre 2026 à Paris : IA d'entreprise, cloud-native, données unifiées. Certifications gratuites sur place.</t>
        </is>
      </c>
      <c r="L80" s="11" t="inlineStr">
        <is>
          <t>non identifié publiquement</t>
        </is>
      </c>
      <c r="M80" s="10" t="inlineStr">
        <is>
          <t>Numerique, informatique, technologies</t>
        </is>
      </c>
      <c r="N80" s="10" t="inlineStr">
        <is>
          <t>.NEXT On Tour Paris 2026 - Nutanix .NEXT on Tour, 7-8 octobre 2026 à Paris : IA d'entreprise, cloud-native, données unifiées. Certificati</t>
        </is>
      </c>
      <c r="O80" s="10" t="inlineStr">
        <is>
          <t>non identifié publiquement</t>
        </is>
      </c>
      <c r="P80" s="10" t="inlineStr"/>
      <c r="Q80" s="11" t="inlineStr"/>
      <c r="R80" s="10" t="inlineStr">
        <is>
          <t>non identifié publiquement</t>
        </is>
      </c>
      <c r="S80" s="10" t="inlineStr">
        <is>
          <t>non</t>
        </is>
      </c>
      <c r="T80" s="11" t="inlineStr"/>
      <c r="U80" s="10" t="inlineStr">
        <is>
          <t>non identifié publiquement</t>
        </is>
      </c>
      <c r="V80" s="10" t="inlineStr">
        <is>
          <t>https://www.agenda-tech.com/events/nutanix-next-on-tour-paris-2026</t>
        </is>
      </c>
      <c r="W80" s="10" t="inlineStr">
        <is>
          <t>2026-09-15</t>
        </is>
      </c>
      <c r="X80" s="11" t="inlineStr">
        <is>
          <t>Identifie via l'agregateur specialise Agenda Tech (donnees structurees schema.org publiees par l'organisateur).</t>
        </is>
      </c>
      <c r="Y80" s="7" t="inlineStr">
        <is>
          <t>16|4</t>
        </is>
      </c>
      <c r="Z80" s="7" t="inlineStr">
        <is>
          <t>IA / Intelligence artificielle + Tech / IT / Logiciels / Télécom</t>
        </is>
      </c>
      <c r="AA80" s="7" t="inlineStr">
        <is>
          <t>9</t>
        </is>
      </c>
      <c r="AB80" s="7" t="inlineStr"/>
      <c r="AC80" s="7" t="inlineStr"/>
      <c r="AD80" s="7" t="inlineStr"/>
      <c r="AE80" s="7" t="inlineStr">
        <is>
          <t>9</t>
        </is>
      </c>
      <c r="AF80" s="7" t="inlineStr">
        <is>
          <t>Data / BI / Analytics</t>
        </is>
      </c>
      <c r="AG80" s="7" t="inlineStr">
        <is>
          <t>constaté</t>
        </is>
      </c>
      <c r="AH80" s="12" t="inlineStr"/>
      <c r="AI80" s="7" t="inlineStr">
        <is>
          <t>5</t>
        </is>
      </c>
      <c r="AJ80" s="7" t="inlineStr">
        <is>
          <t>401-2000</t>
        </is>
      </c>
      <c r="AK80" s="8" t="inlineStr">
        <is>
          <t>estimé</t>
        </is>
      </c>
      <c r="AL80" s="7" t="inlineStr">
        <is>
          <t>estimation : 300 a 1500 participants</t>
        </is>
      </c>
      <c r="AM80" s="11" t="inlineStr">
        <is>
          <t>Modele de format (convention client d'editeur ou d'integrateur), fourchette 300-1500, plafonnee par la capacite du lieu (Carrousel du Louvre ~ 5000)</t>
        </is>
      </c>
      <c r="AN80" s="7" t="inlineStr">
        <is>
          <t>moyenne</t>
        </is>
      </c>
      <c r="AO80" s="7" t="inlineStr">
        <is>
          <t>1|3</t>
        </is>
      </c>
      <c r="AP80" s="7" t="inlineStr">
        <is>
          <t>Décideurs PME/ETI + Opérationnels / Utilisateurs métier</t>
        </is>
      </c>
      <c r="AQ80" s="8" t="inlineStr">
        <is>
          <t>estimé</t>
        </is>
      </c>
      <c r="AR80" s="12" t="inlineStr">
        <is>
          <t>Convention client d'editeur : decideurs IT et utilisateurs metier</t>
        </is>
      </c>
      <c r="AS80" s="7" t="inlineStr">
        <is>
          <t>1</t>
        </is>
      </c>
      <c r="AT80" s="7" t="inlineStr">
        <is>
          <t>Facile</t>
        </is>
      </c>
      <c r="AU80" s="8" t="inlineStr">
        <is>
          <t>estimé</t>
        </is>
      </c>
      <c r="AV80" s="12" t="inlineStr">
        <is>
          <t>Tarif 'Gratuit' publie par Agenda Tech</t>
        </is>
      </c>
      <c r="AW80" s="7" t="inlineStr">
        <is>
          <t>S:16|4 L:9 N:5 P:1|3 A:1</t>
        </is>
      </c>
    </row>
    <row r="81">
      <c r="A81" s="10" t="inlineStr">
        <is>
          <t>Afrique 2030 : nouvelle carte du commerce mondial</t>
        </is>
      </c>
      <c r="B81" s="10" t="inlineStr">
        <is>
          <t>CCI Paris Ile-de-France</t>
        </is>
      </c>
      <c r="C81" s="10" t="inlineStr">
        <is>
          <t>2026-10-06</t>
        </is>
      </c>
      <c r="D81" s="10" t="inlineStr"/>
      <c r="E81" s="10" t="inlineStr"/>
      <c r="F81" s="10" t="inlineStr">
        <is>
          <t>non identifié publiquement</t>
        </is>
      </c>
      <c r="G81" s="10" t="inlineStr">
        <is>
          <t>Maison de l'Environnement et des Territoires (Groupe ADP), rue Louis Couhe</t>
        </is>
      </c>
      <c r="H81" s="10" t="inlineStr">
        <is>
          <t>Tremblay-en-France</t>
        </is>
      </c>
      <c r="I81" s="10" t="inlineStr">
        <is>
          <t>93</t>
        </is>
      </c>
      <c r="J81" s="10" t="inlineStr">
        <is>
          <t>présentiel</t>
        </is>
      </c>
      <c r="K81" s="11" t="inlineStr">
        <is>
          <t>Conference sur les perspectives economiques africaines et le commerce mondial.</t>
        </is>
      </c>
      <c r="L81" s="11" t="inlineStr">
        <is>
          <t>non identifié publiquement</t>
        </is>
      </c>
      <c r="M81" s="10" t="inlineStr">
        <is>
          <t>International, commerce exterieur</t>
        </is>
      </c>
      <c r="N81" s="10" t="inlineStr">
        <is>
          <t>non identifié publiquement</t>
        </is>
      </c>
      <c r="O81" s="10" t="inlineStr">
        <is>
          <t>non identifié publiquement</t>
        </is>
      </c>
      <c r="P81" s="10" t="inlineStr"/>
      <c r="Q81" s="11" t="inlineStr"/>
      <c r="R81" s="10" t="inlineStr">
        <is>
          <t>inscription libre</t>
        </is>
      </c>
      <c r="S81" s="10" t="inlineStr">
        <is>
          <t>non</t>
        </is>
      </c>
      <c r="T81" s="11" t="inlineStr"/>
      <c r="U81" s="10" t="inlineStr">
        <is>
          <t>non identifié publiquement</t>
        </is>
      </c>
      <c r="V81" s="10" t="inlineStr">
        <is>
          <t>https://www.entreprises.cci-paris-idf.fr/evenements/afrique-2030-nouvelle-carte-du-commerce-mondial</t>
        </is>
      </c>
      <c r="W81" s="10" t="inlineStr">
        <is>
          <t>2026-09-15</t>
        </is>
      </c>
      <c r="X81" s="11" t="inlineStr"/>
      <c r="Y81" s="7" t="inlineStr">
        <is>
          <t>5</t>
        </is>
      </c>
      <c r="Z81" s="7" t="inlineStr">
        <is>
          <t>Commerce / Distribution / E-commerce</t>
        </is>
      </c>
      <c r="AA81" s="7" t="inlineStr"/>
      <c r="AB81" s="7" t="inlineStr"/>
      <c r="AC81" s="7" t="inlineStr"/>
      <c r="AD81" s="7" t="inlineStr">
        <is>
          <t>2</t>
        </is>
      </c>
      <c r="AE81" s="7" t="inlineStr">
        <is>
          <t>0</t>
        </is>
      </c>
      <c r="AF81" s="7" t="inlineStr">
        <is>
          <t>Générique / Multi-éditeurs / Sans dominante</t>
        </is>
      </c>
      <c r="AG81" s="8" t="inlineStr">
        <is>
          <t>estimé</t>
        </is>
      </c>
      <c r="AH81" s="12" t="inlineStr">
        <is>
          <t>Aucune dimension logicielle dans le positionnement de l'organisateur : rattache au 0 (sans dominante) plutot que laisse vide, conformement a la demande de non-vide</t>
        </is>
      </c>
      <c r="AI81" s="7" t="inlineStr">
        <is>
          <t>6</t>
        </is>
      </c>
      <c r="AJ81" s="7" t="inlineStr">
        <is>
          <t>&gt;2000</t>
        </is>
      </c>
      <c r="AK81" s="8" t="inlineStr">
        <is>
          <t>estimé</t>
        </is>
      </c>
      <c r="AL81" s="7" t="inlineStr">
        <is>
          <t>estimation : 1000 a 6000 participants</t>
        </is>
      </c>
      <c r="AM81" s="11" t="inlineStr">
        <is>
          <t>Modele de format (congres de societe savante), fourchette 1000-6000</t>
        </is>
      </c>
      <c r="AN81" s="7" t="inlineStr">
        <is>
          <t>moyenne</t>
        </is>
      </c>
      <c r="AO81" s="7" t="inlineStr">
        <is>
          <t>1</t>
        </is>
      </c>
      <c r="AP81" s="7" t="inlineStr">
        <is>
          <t>Décideurs PME/ETI</t>
        </is>
      </c>
      <c r="AQ81" s="8" t="inlineStr">
        <is>
          <t>estimé</t>
        </is>
      </c>
      <c r="AR81" s="12" t="inlineStr">
        <is>
          <t>Organisateur CCI : public cible structurel de dirigeants et collaborateurs de TPE-PME</t>
        </is>
      </c>
      <c r="AS81" s="7" t="inlineStr">
        <is>
          <t>2</t>
        </is>
      </c>
      <c r="AT81" s="7" t="inlineStr">
        <is>
          <t>Moyen</t>
        </is>
      </c>
      <c r="AU81" s="7" t="inlineStr">
        <is>
          <t>constaté</t>
        </is>
      </c>
      <c r="AV81" s="12" t="inlineStr"/>
      <c r="AW81" s="7" t="inlineStr">
        <is>
          <t>S:5 L:0 N:6 P:1 A:2</t>
        </is>
      </c>
    </row>
    <row r="82">
      <c r="A82" s="10" t="inlineStr">
        <is>
          <t>Boost Agent IA : concevez 5 agents IA au service de votre entreprise (session octobre-novembre)</t>
        </is>
      </c>
      <c r="B82" s="10" t="inlineStr">
        <is>
          <t>CCI Paris Ile-de-France</t>
        </is>
      </c>
      <c r="C82" s="10" t="inlineStr">
        <is>
          <t>2026-10-06</t>
        </is>
      </c>
      <c r="D82" s="10" t="inlineStr">
        <is>
          <t>2026-11-24</t>
        </is>
      </c>
      <c r="E82" s="10" t="inlineStr"/>
      <c r="F82" s="10" t="inlineStr">
        <is>
          <t>non identifié publiquement</t>
        </is>
      </c>
      <c r="G82" s="10" t="inlineStr">
        <is>
          <t>CCI Hauts-de-Seine - Coeur Defense, Tour A, 2e etage</t>
        </is>
      </c>
      <c r="H82" s="10" t="inlineStr">
        <is>
          <t>Courbevoie (quartier Paris La Defense)</t>
        </is>
      </c>
      <c r="I82" s="10" t="inlineStr">
        <is>
          <t>92</t>
        </is>
      </c>
      <c r="J82" s="10" t="inlineStr">
        <is>
          <t>présentiel</t>
        </is>
      </c>
      <c r="K82" s="11" t="inlineStr">
        <is>
          <t>Parcours de conception de cinq agents IA operationnels pour l'entreprise.</t>
        </is>
      </c>
      <c r="L82" s="11" t="inlineStr">
        <is>
          <t>non identifié publiquement</t>
        </is>
      </c>
      <c r="M82" s="10" t="inlineStr">
        <is>
          <t>Tous secteurs</t>
        </is>
      </c>
      <c r="N82" s="10" t="inlineStr">
        <is>
          <t>Intelligence artificielle generative, agents IA, automatisation</t>
        </is>
      </c>
      <c r="O82" s="10" t="inlineStr">
        <is>
          <t>non identifié publiquement</t>
        </is>
      </c>
      <c r="P82" s="10" t="inlineStr"/>
      <c r="Q82" s="11" t="inlineStr"/>
      <c r="R82" s="10" t="inlineStr">
        <is>
          <t>candidature</t>
        </is>
      </c>
      <c r="S82" s="10" t="inlineStr">
        <is>
          <t>non</t>
        </is>
      </c>
      <c r="T82" s="11" t="inlineStr"/>
      <c r="U82" s="10" t="inlineStr">
        <is>
          <t>non identifié publiquement</t>
        </is>
      </c>
      <c r="V82" s="10" t="inlineStr">
        <is>
          <t>https://www.entreprises.cci-paris-idf.fr/evenements/boost-agent-ia-concevez-5-agents-ia-au-service-de-votre-entreprise-0</t>
        </is>
      </c>
      <c r="W82" s="10" t="inlineStr">
        <is>
          <t>2026-09-15</t>
        </is>
      </c>
      <c r="X82" s="11" t="inlineStr">
        <is>
          <t>ATELIER IA : concurrence directe ou partenariat possible pour une offre de conseil IA aupres des PME. La CCI Paris IDF a industrialise une offre IA pour TPE-PME sur la periode. Deux sessions distinctes sont publiees sur la periode (6 octobre - 24 novembre, puis 22 octobre - 10 decembre) : une ligne par session.</t>
        </is>
      </c>
      <c r="Y82" s="7" t="inlineStr">
        <is>
          <t>16</t>
        </is>
      </c>
      <c r="Z82" s="7" t="inlineStr">
        <is>
          <t>IA / Intelligence artificielle</t>
        </is>
      </c>
      <c r="AA82" s="7" t="inlineStr">
        <is>
          <t>11</t>
        </is>
      </c>
      <c r="AB82" s="7" t="inlineStr"/>
      <c r="AC82" s="7" t="inlineStr">
        <is>
          <t>3</t>
        </is>
      </c>
      <c r="AD82" s="7" t="inlineStr">
        <is>
          <t>2</t>
        </is>
      </c>
      <c r="AE82" s="7" t="inlineStr">
        <is>
          <t>11</t>
        </is>
      </c>
      <c r="AF82" s="7" t="inlineStr">
        <is>
          <t>IA / Automatisation / No-code / Low-code</t>
        </is>
      </c>
      <c r="AG82" s="7" t="inlineStr">
        <is>
          <t>constaté</t>
        </is>
      </c>
      <c r="AH82" s="12" t="inlineStr"/>
      <c r="AI82" s="7" t="inlineStr">
        <is>
          <t>1</t>
        </is>
      </c>
      <c r="AJ82" s="7" t="inlineStr">
        <is>
          <t>1-15</t>
        </is>
      </c>
      <c r="AK82" s="8" t="inlineStr">
        <is>
          <t>estimé</t>
        </is>
      </c>
      <c r="AL82" s="7" t="inlineStr">
        <is>
          <t>estimation : 10 a 25 participants</t>
        </is>
      </c>
      <c r="AM82" s="11" t="inlineStr">
        <is>
          <t>Modele de format (parcours d'accompagnement sur candidature), fourchette 10-25, plafonnee par la capacite du lieu (CCI Hauts-de-Seine - Coeur Defense, Tour ~ 120)</t>
        </is>
      </c>
      <c r="AN82" s="7" t="inlineStr">
        <is>
          <t>moyenne</t>
        </is>
      </c>
      <c r="AO82" s="7" t="inlineStr">
        <is>
          <t>3</t>
        </is>
      </c>
      <c r="AP82" s="7" t="inlineStr">
        <is>
          <t>Opérationnels / Utilisateurs métier</t>
        </is>
      </c>
      <c r="AQ82" s="7" t="inlineStr">
        <is>
          <t>constaté</t>
        </is>
      </c>
      <c r="AR82" s="12" t="inlineStr"/>
      <c r="AS82" s="7" t="inlineStr">
        <is>
          <t>2</t>
        </is>
      </c>
      <c r="AT82" s="7" t="inlineStr">
        <is>
          <t>Moyen</t>
        </is>
      </c>
      <c r="AU82" s="7" t="inlineStr">
        <is>
          <t>constaté</t>
        </is>
      </c>
      <c r="AV82" s="12" t="inlineStr"/>
      <c r="AW82" s="7" t="inlineStr">
        <is>
          <t>S:16 L:11 N:1 P:3 A:2</t>
        </is>
      </c>
    </row>
    <row r="83">
      <c r="A83" s="10" t="inlineStr">
        <is>
          <t>IA &amp; 6G : construire le monde intelligent de demain</t>
        </is>
      </c>
      <c r="B83" s="10" t="inlineStr">
        <is>
          <t>Pole Systematic Paris-Region</t>
        </is>
      </c>
      <c r="C83" s="10" t="inlineStr">
        <is>
          <t>2026-10-06</t>
        </is>
      </c>
      <c r="D83" s="10" t="inlineStr"/>
      <c r="E83" s="10" t="inlineStr"/>
      <c r="F83" s="10" t="inlineStr">
        <is>
          <t>non identifié publiquement</t>
        </is>
      </c>
      <c r="G83" s="10" t="inlineStr">
        <is>
          <t>Ministere de l'Enseignement superieur, de la Recherche et de l'Espace, 1 rue Descartes</t>
        </is>
      </c>
      <c r="H83" s="10" t="inlineStr">
        <is>
          <t>Paris 5e</t>
        </is>
      </c>
      <c r="I83" s="10" t="inlineStr">
        <is>
          <t>75</t>
        </is>
      </c>
      <c r="J83" s="10" t="inlineStr">
        <is>
          <t>présentiel</t>
        </is>
      </c>
      <c r="K83" s="11" t="inlineStr">
        <is>
          <t>Rencontre sur l'IA au service des reseaux (automatisation, optimisation, pilotage intelligent) et les reseaux 6G.</t>
        </is>
      </c>
      <c r="L83" s="11" t="inlineStr">
        <is>
          <t>non identifié publiquement</t>
        </is>
      </c>
      <c r="M83" s="10" t="inlineStr">
        <is>
          <t>Telecoms, reseaux, intelligence artificielle</t>
        </is>
      </c>
      <c r="N83" s="10" t="inlineStr">
        <is>
          <t>IA appliquee aux reseaux, 6G, infrastructure numerique</t>
        </is>
      </c>
      <c r="O83" s="10" t="inlineStr">
        <is>
          <t>non identifié publiquement</t>
        </is>
      </c>
      <c r="P83" s="10" t="inlineStr"/>
      <c r="Q83" s="11" t="inlineStr"/>
      <c r="R83" s="10" t="inlineStr">
        <is>
          <t>inscription libre</t>
        </is>
      </c>
      <c r="S83" s="10" t="inlineStr">
        <is>
          <t>oui</t>
        </is>
      </c>
      <c r="T83" s="11" t="inlineStr">
        <is>
          <t>Se tient dans un ministere : acces soumis a inscription prealable et controle</t>
        </is>
      </c>
      <c r="U83" s="10" t="inlineStr">
        <is>
          <t>non identifié publiquement</t>
        </is>
      </c>
      <c r="V83" s="10" t="inlineStr">
        <is>
          <t>https://systematic-paris-region.org/evenement/ia6g/</t>
        </is>
      </c>
      <c r="W83" s="10" t="inlineStr">
        <is>
          <t>2026-09-15</t>
        </is>
      </c>
      <c r="X83" s="11" t="inlineStr">
        <is>
          <t>Tag organisateur : Digital Infrastructure. Prix non affiche sur la fiche.</t>
        </is>
      </c>
      <c r="Y83" s="7" t="inlineStr">
        <is>
          <t>16|4</t>
        </is>
      </c>
      <c r="Z83" s="7" t="inlineStr">
        <is>
          <t>IA / Intelligence artificielle + Tech / IT / Logiciels / Télécom</t>
        </is>
      </c>
      <c r="AA83" s="7" t="inlineStr">
        <is>
          <t>11</t>
        </is>
      </c>
      <c r="AB83" s="7" t="inlineStr"/>
      <c r="AC83" s="7" t="inlineStr"/>
      <c r="AD83" s="7" t="inlineStr">
        <is>
          <t>2</t>
        </is>
      </c>
      <c r="AE83" s="7" t="inlineStr">
        <is>
          <t>11</t>
        </is>
      </c>
      <c r="AF83" s="7" t="inlineStr">
        <is>
          <t>IA / Automatisation / No-code / Low-code</t>
        </is>
      </c>
      <c r="AG83" s="7" t="inlineStr">
        <is>
          <t>constaté</t>
        </is>
      </c>
      <c r="AH83" s="12" t="inlineStr"/>
      <c r="AI83" s="7" t="inlineStr">
        <is>
          <t>3</t>
        </is>
      </c>
      <c r="AJ83" s="7" t="inlineStr">
        <is>
          <t>41-120</t>
        </is>
      </c>
      <c r="AK83" s="8" t="inlineStr">
        <is>
          <t>estimé</t>
        </is>
      </c>
      <c r="AL83" s="7" t="inlineStr">
        <is>
          <t>estimation : 50 a 250 participants</t>
        </is>
      </c>
      <c r="AM83" s="11" t="inlineStr">
        <is>
          <t>Modele de format (rendez-vous de pole de competitivite ou de cluster), fourchette 50-250</t>
        </is>
      </c>
      <c r="AN83" s="7" t="inlineStr">
        <is>
          <t>moyenne</t>
        </is>
      </c>
      <c r="AO83" s="7" t="inlineStr">
        <is>
          <t>3</t>
        </is>
      </c>
      <c r="AP83" s="7" t="inlineStr">
        <is>
          <t>Opérationnels / Utilisateurs métier</t>
        </is>
      </c>
      <c r="AQ83" s="8" t="inlineStr">
        <is>
          <t>estimé</t>
        </is>
      </c>
      <c r="AR83" s="12" t="inlineStr">
        <is>
          <t>Conference technique IA : profils operationnels et utilisateurs metier</t>
        </is>
      </c>
      <c r="AS83" s="7" t="inlineStr">
        <is>
          <t>2</t>
        </is>
      </c>
      <c r="AT83" s="7" t="inlineStr">
        <is>
          <t>Moyen</t>
        </is>
      </c>
      <c r="AU83" s="7" t="inlineStr">
        <is>
          <t>constaté</t>
        </is>
      </c>
      <c r="AV83" s="12" t="inlineStr"/>
      <c r="AW83" s="7" t="inlineStr">
        <is>
          <t>S:16|4 L:11 N:3 P:3 A:2</t>
        </is>
      </c>
    </row>
    <row r="84">
      <c r="A84" s="10" t="inlineStr">
        <is>
          <t>Matlab Expo France</t>
        </is>
      </c>
      <c r="B84" s="10" t="inlineStr">
        <is>
          <t>MathWorks</t>
        </is>
      </c>
      <c r="C84" s="10" t="inlineStr">
        <is>
          <t>2026-10-06</t>
        </is>
      </c>
      <c r="D84" s="10" t="inlineStr"/>
      <c r="E84" s="10" t="inlineStr"/>
      <c r="F84" s="10" t="inlineStr">
        <is>
          <t>non identifié publiquement</t>
        </is>
      </c>
      <c r="G84" s="10" t="inlineStr">
        <is>
          <t>non identifié publiquement</t>
        </is>
      </c>
      <c r="H84" s="10" t="inlineStr">
        <is>
          <t>Paris (arrondissement non communique)</t>
        </is>
      </c>
      <c r="I84" s="10" t="inlineStr">
        <is>
          <t>75</t>
        </is>
      </c>
      <c r="J84" s="10" t="inlineStr">
        <is>
          <t>présentiel</t>
        </is>
      </c>
      <c r="K84" s="11" t="inlineStr">
        <is>
          <t>Matlab Expo France le 6 octobre 2026 à Paris. Découvrez les innovations MATLAB et Simulink avec ingénieurs et chercheurs.</t>
        </is>
      </c>
      <c r="L84" s="11" t="inlineStr">
        <is>
          <t>non identifié publiquement</t>
        </is>
      </c>
      <c r="M84" s="10" t="inlineStr">
        <is>
          <t>Numerique, informatique, technologies</t>
        </is>
      </c>
      <c r="N84" s="10" t="inlineStr">
        <is>
          <t>non identifié publiquement</t>
        </is>
      </c>
      <c r="O84" s="10" t="inlineStr">
        <is>
          <t>non identifié publiquement</t>
        </is>
      </c>
      <c r="P84" s="10" t="inlineStr"/>
      <c r="Q84" s="11" t="inlineStr"/>
      <c r="R84" s="10" t="inlineStr">
        <is>
          <t>non identifié publiquement</t>
        </is>
      </c>
      <c r="S84" s="10" t="inlineStr">
        <is>
          <t>non</t>
        </is>
      </c>
      <c r="T84" s="11" t="inlineStr"/>
      <c r="U84" s="10" t="inlineStr">
        <is>
          <t>non identifié publiquement</t>
        </is>
      </c>
      <c r="V84" s="10" t="inlineStr">
        <is>
          <t>https://www.agenda-tech.com/events/matlab-expo-france-2026</t>
        </is>
      </c>
      <c r="W84" s="10" t="inlineStr">
        <is>
          <t>2026-09-15</t>
        </is>
      </c>
      <c r="X84" s="11" t="inlineStr">
        <is>
          <t>Identifie via l'agregateur specialise Agenda Tech (donnees structurees schema.org publiees par l'organisateur).</t>
        </is>
      </c>
      <c r="Y84" s="7" t="inlineStr">
        <is>
          <t>4</t>
        </is>
      </c>
      <c r="Z84" s="7" t="inlineStr">
        <is>
          <t>Tech / IT / Logiciels / Télécom</t>
        </is>
      </c>
      <c r="AA84" s="7" t="inlineStr">
        <is>
          <t>0</t>
        </is>
      </c>
      <c r="AB84" s="7" t="inlineStr"/>
      <c r="AC84" s="7" t="inlineStr">
        <is>
          <t>7</t>
        </is>
      </c>
      <c r="AD84" s="7" t="inlineStr"/>
      <c r="AE84" s="7" t="inlineStr">
        <is>
          <t>0</t>
        </is>
      </c>
      <c r="AF84" s="7" t="inlineStr">
        <is>
          <t>Générique / Multi-éditeurs / Sans dominante</t>
        </is>
      </c>
      <c r="AG84" s="7" t="inlineStr">
        <is>
          <t>déduit</t>
        </is>
      </c>
      <c r="AH84" s="12" t="inlineStr">
        <is>
          <t>Deduit du secteur (axe 1)</t>
        </is>
      </c>
      <c r="AI84" s="7" t="inlineStr">
        <is>
          <t>5</t>
        </is>
      </c>
      <c r="AJ84" s="7" t="inlineStr">
        <is>
          <t>401-2000</t>
        </is>
      </c>
      <c r="AK84" s="8" t="inlineStr">
        <is>
          <t>estimé</t>
        </is>
      </c>
      <c r="AL84" s="7" t="inlineStr">
        <is>
          <t>estimation : 300 a 1500 participants</t>
        </is>
      </c>
      <c r="AM84" s="11" t="inlineStr">
        <is>
          <t>Modele de format (convention client d'editeur ou d'integrateur), fourchette 300-1500</t>
        </is>
      </c>
      <c r="AN84" s="7" t="inlineStr">
        <is>
          <t>moyenne</t>
        </is>
      </c>
      <c r="AO84" s="7" t="inlineStr">
        <is>
          <t>7</t>
        </is>
      </c>
      <c r="AP84" s="7" t="inlineStr">
        <is>
          <t>Experts / Advisors / Associations professionnelles</t>
        </is>
      </c>
      <c r="AQ84" s="7" t="inlineStr">
        <is>
          <t>constaté</t>
        </is>
      </c>
      <c r="AR84" s="12" t="inlineStr"/>
      <c r="AS84" s="7" t="inlineStr">
        <is>
          <t>2</t>
        </is>
      </c>
      <c r="AT84" s="7" t="inlineStr">
        <is>
          <t>Moyen</t>
        </is>
      </c>
      <c r="AU84" s="8" t="inlineStr">
        <is>
          <t>estimé</t>
        </is>
      </c>
      <c r="AV84" s="12" t="inlineStr">
        <is>
          <t>Billetterie en vente libre (mention 'Voir tarifs sur le site' chez Agenda Tech), sans gratuite confirmee</t>
        </is>
      </c>
      <c r="AW84" s="7" t="inlineStr">
        <is>
          <t>S:4 L:0 N:5 P:7 A:2</t>
        </is>
      </c>
    </row>
    <row r="85">
      <c r="A85" s="10" t="inlineStr">
        <is>
          <t>Own Stream Days Europe</t>
        </is>
      </c>
      <c r="B85" s="10" t="inlineStr">
        <is>
          <t>Dataxis</t>
        </is>
      </c>
      <c r="C85" s="10" t="inlineStr">
        <is>
          <t>2026-10-06</t>
        </is>
      </c>
      <c r="D85" s="10" t="inlineStr"/>
      <c r="E85" s="10" t="inlineStr"/>
      <c r="F85" s="10" t="inlineStr">
        <is>
          <t>non identifié publiquement</t>
        </is>
      </c>
      <c r="G85" s="10" t="inlineStr">
        <is>
          <t>11 Rue Catherine de la Rochefoucauld, 75009 Paris</t>
        </is>
      </c>
      <c r="H85" s="10" t="inlineStr">
        <is>
          <t>Paris (arrondissement selon le lieu)</t>
        </is>
      </c>
      <c r="I85" s="10" t="inlineStr">
        <is>
          <t>75</t>
        </is>
      </c>
      <c r="J85" s="10" t="inlineStr">
        <is>
          <t>présentiel</t>
        </is>
      </c>
      <c r="K85" s="11" t="inlineStr">
        <is>
          <t>Conférence 6 octobre à Paris sur la monétisation vidéo et les opérations YouTube. Réunissez vos équipes tech pour explorer l'innovation streaming en Europe.</t>
        </is>
      </c>
      <c r="L85" s="11" t="inlineStr">
        <is>
          <t>non identifié publiquement</t>
        </is>
      </c>
      <c r="M85" s="10" t="inlineStr">
        <is>
          <t>Numerique, informatique, technologies</t>
        </is>
      </c>
      <c r="N85" s="10" t="inlineStr">
        <is>
          <t>non identifié publiquement</t>
        </is>
      </c>
      <c r="O85" s="10" t="inlineStr">
        <is>
          <t>non identifié publiquement</t>
        </is>
      </c>
      <c r="P85" s="10" t="inlineStr">
        <is>
          <t>ESTIME</t>
        </is>
      </c>
      <c r="Q85" s="11" t="inlineStr">
        <is>
          <t>Effectif attendu publie par l'agregateur specialise Agenda Tech pour cette edition</t>
        </is>
      </c>
      <c r="R85" s="10" t="inlineStr">
        <is>
          <t>non identifié publiquement</t>
        </is>
      </c>
      <c r="S85" s="10" t="inlineStr">
        <is>
          <t>non</t>
        </is>
      </c>
      <c r="T85" s="11" t="inlineStr"/>
      <c r="U85" s="10" t="inlineStr">
        <is>
          <t>non identifié publiquement</t>
        </is>
      </c>
      <c r="V85" s="10" t="inlineStr">
        <is>
          <t>https://www.agenda-tech.com/events/own-stream-days-europe-2026</t>
        </is>
      </c>
      <c r="W85" s="10" t="inlineStr">
        <is>
          <t>2026-09-15</t>
        </is>
      </c>
      <c r="X85" s="11" t="inlineStr">
        <is>
          <t>Identifie via l'agregateur specialise Agenda Tech (donnees structurees schema.org publiees par l'organisateur).</t>
        </is>
      </c>
      <c r="Y85" s="7" t="inlineStr">
        <is>
          <t>4</t>
        </is>
      </c>
      <c r="Z85" s="7" t="inlineStr">
        <is>
          <t>Tech / IT / Logiciels / Télécom</t>
        </is>
      </c>
      <c r="AA85" s="7" t="inlineStr">
        <is>
          <t>0</t>
        </is>
      </c>
      <c r="AB85" s="7" t="inlineStr"/>
      <c r="AC85" s="7" t="inlineStr"/>
      <c r="AD85" s="7" t="inlineStr"/>
      <c r="AE85" s="7" t="inlineStr">
        <is>
          <t>0</t>
        </is>
      </c>
      <c r="AF85" s="7" t="inlineStr">
        <is>
          <t>Générique / Multi-éditeurs / Sans dominante</t>
        </is>
      </c>
      <c r="AG85" s="7" t="inlineStr">
        <is>
          <t>déduit</t>
        </is>
      </c>
      <c r="AH85" s="12" t="inlineStr">
        <is>
          <t>Deduit du secteur (axe 1)</t>
        </is>
      </c>
      <c r="AI85" s="7" t="inlineStr">
        <is>
          <t>4</t>
        </is>
      </c>
      <c r="AJ85" s="7" t="inlineStr">
        <is>
          <t>121-400</t>
        </is>
      </c>
      <c r="AK85" s="8" t="inlineStr">
        <is>
          <t>estimé</t>
        </is>
      </c>
      <c r="AL85" s="7" t="inlineStr">
        <is>
          <t>environ 150 participants</t>
        </is>
      </c>
      <c r="AM85" s="11" t="inlineStr">
        <is>
          <t>Effectif attendu publie par Agenda Tech (agregateur specialise, chiffre de l'organisateur ou de l'agregateur)</t>
        </is>
      </c>
      <c r="AN85" s="7" t="inlineStr">
        <is>
          <t>moyenne</t>
        </is>
      </c>
      <c r="AO85" s="7" t="inlineStr">
        <is>
          <t>1</t>
        </is>
      </c>
      <c r="AP85" s="7" t="inlineStr">
        <is>
          <t>Décideurs PME/ETI</t>
        </is>
      </c>
      <c r="AQ85" s="8" t="inlineStr">
        <is>
          <t>estimé</t>
        </is>
      </c>
      <c r="AR85" s="12" t="inlineStr">
        <is>
          <t>Par defaut, evenement B2B francilien : decideurs PME/ETI</t>
        </is>
      </c>
      <c r="AS85" s="7" t="inlineStr">
        <is>
          <t>2</t>
        </is>
      </c>
      <c r="AT85" s="7" t="inlineStr">
        <is>
          <t>Moyen</t>
        </is>
      </c>
      <c r="AU85" s="8" t="inlineStr">
        <is>
          <t>estimé</t>
        </is>
      </c>
      <c r="AV85" s="12" t="inlineStr">
        <is>
          <t>Billetterie en vente libre (mention 'Voir tarifs sur le site' chez Agenda Tech), sans gratuite confirmee</t>
        </is>
      </c>
      <c r="AW85" s="7" t="inlineStr">
        <is>
          <t>S:4 L:0 N:4 P:1 A:2</t>
        </is>
      </c>
    </row>
    <row r="86">
      <c r="A86" s="10" t="inlineStr">
        <is>
          <t>Colloque National Eolien 2026</t>
        </is>
      </c>
      <c r="B86" s="10" t="inlineStr">
        <is>
          <t>France Energie Eolienne (FEE)</t>
        </is>
      </c>
      <c r="C86" s="10" t="inlineStr">
        <is>
          <t>2026-10-07</t>
        </is>
      </c>
      <c r="D86" s="10" t="inlineStr">
        <is>
          <t>2026-10-08</t>
        </is>
      </c>
      <c r="E86" s="10" t="inlineStr"/>
      <c r="F86" s="10" t="inlineStr">
        <is>
          <t>annuel</t>
        </is>
      </c>
      <c r="G86" s="10" t="inlineStr">
        <is>
          <t>Parc Floral de Paris</t>
        </is>
      </c>
      <c r="H86" s="10" t="inlineStr">
        <is>
          <t>Paris 12e</t>
        </is>
      </c>
      <c r="I86" s="10" t="inlineStr">
        <is>
          <t>75</t>
        </is>
      </c>
      <c r="J86" s="10" t="inlineStr">
        <is>
          <t>présentiel</t>
        </is>
      </c>
      <c r="K86" s="11" t="inlineStr">
        <is>
          <t>Le rendez-vous de la filière éolienne en France</t>
        </is>
      </c>
      <c r="L86" s="11" t="inlineStr">
        <is>
          <t>Visitorat : réservé aux professionnels (fiche CCI Paris Ile-de-France)</t>
        </is>
      </c>
      <c r="M86" s="10" t="inlineStr">
        <is>
          <t>Environnement et énergie</t>
        </is>
      </c>
      <c r="N86" s="10" t="inlineStr">
        <is>
          <t>non identifié publiquement</t>
        </is>
      </c>
      <c r="O86" s="10" t="inlineStr">
        <is>
          <t>non identifié publiquement</t>
        </is>
      </c>
      <c r="P86" s="10" t="inlineStr"/>
      <c r="Q86" s="11" t="inlineStr"/>
      <c r="R86" s="10" t="inlineStr">
        <is>
          <t>billet payant</t>
        </is>
      </c>
      <c r="S86" s="10" t="inlineStr">
        <is>
          <t>non</t>
        </is>
      </c>
      <c r="T86" s="11" t="inlineStr"/>
      <c r="U86" s="10" t="inlineStr">
        <is>
          <t>non identifié publiquement</t>
        </is>
      </c>
      <c r="V86" s="10" t="inlineStr">
        <is>
          <t>https://www.cci-paris-idf.fr/fr/evenements-salons/salons-foires-paris-ile-de-france/colloque-national-eolien</t>
        </is>
      </c>
      <c r="W86" s="10" t="inlineStr">
        <is>
          <t>2026-09-15</t>
        </is>
      </c>
      <c r="X86" s="11" t="inlineStr">
        <is>
          <t>Organise par la federation professionnelle France Energie Eolienne. Egalement rattachable a la famille D (federations sectorielles).</t>
        </is>
      </c>
      <c r="Y86" s="7" t="inlineStr">
        <is>
          <t>11</t>
        </is>
      </c>
      <c r="Z86" s="7" t="inlineStr">
        <is>
          <t>Énergie / Environnement / Utilities</t>
        </is>
      </c>
      <c r="AA86" s="7" t="inlineStr"/>
      <c r="AB86" s="7" t="inlineStr"/>
      <c r="AC86" s="7" t="inlineStr"/>
      <c r="AD86" s="7" t="inlineStr">
        <is>
          <t>2</t>
        </is>
      </c>
      <c r="AE86" s="7" t="inlineStr">
        <is>
          <t>0</t>
        </is>
      </c>
      <c r="AF86" s="7" t="inlineStr">
        <is>
          <t>Générique / Multi-éditeurs / Sans dominante</t>
        </is>
      </c>
      <c r="AG86" s="8" t="inlineStr">
        <is>
          <t>estimé</t>
        </is>
      </c>
      <c r="AH86" s="12" t="inlineStr">
        <is>
          <t>Aucune dimension logicielle dans le positionnement de l'organisateur : rattache au 0 (sans dominante) plutot que laisse vide, conformement a la demande de non-vide</t>
        </is>
      </c>
      <c r="AI86" s="7" t="inlineStr">
        <is>
          <t>4</t>
        </is>
      </c>
      <c r="AJ86" s="7" t="inlineStr">
        <is>
          <t>121-400</t>
        </is>
      </c>
      <c r="AK86" s="8" t="inlineStr">
        <is>
          <t>estimé</t>
        </is>
      </c>
      <c r="AL86" s="7" t="inlineStr">
        <is>
          <t>estimation : 150 a 600 participants</t>
        </is>
      </c>
      <c r="AM86" s="11" t="inlineStr">
        <is>
          <t>Modele de format (colloque ou journee thematique), fourchette 150-600, plafonnee par la capacite du lieu (Parc Floral de Paris ~ 5000)</t>
        </is>
      </c>
      <c r="AN86" s="7" t="inlineStr">
        <is>
          <t>moyenne</t>
        </is>
      </c>
      <c r="AO86" s="7" t="inlineStr">
        <is>
          <t>1</t>
        </is>
      </c>
      <c r="AP86" s="7" t="inlineStr">
        <is>
          <t>Décideurs PME/ETI</t>
        </is>
      </c>
      <c r="AQ86" s="8" t="inlineStr">
        <is>
          <t>estimé</t>
        </is>
      </c>
      <c r="AR86" s="12" t="inlineStr">
        <is>
          <t>Par defaut, evenement B2B francilien : decideurs PME/ETI</t>
        </is>
      </c>
      <c r="AS86" s="7" t="inlineStr">
        <is>
          <t>2</t>
        </is>
      </c>
      <c r="AT86" s="7" t="inlineStr">
        <is>
          <t>Moyen</t>
        </is>
      </c>
      <c r="AU86" s="7" t="inlineStr">
        <is>
          <t>constaté</t>
        </is>
      </c>
      <c r="AV86" s="12" t="inlineStr"/>
      <c r="AW86" s="7" t="inlineStr">
        <is>
          <t>S:11 L:0 N:4 P:1 A:2</t>
        </is>
      </c>
    </row>
    <row r="87">
      <c r="A87" s="10" t="inlineStr">
        <is>
          <t>Forum PHP 2026</t>
        </is>
      </c>
      <c r="B87" s="10" t="inlineStr">
        <is>
          <t>AFUP (Association Française des Utilisateurs de PHP)</t>
        </is>
      </c>
      <c r="C87" s="10" t="inlineStr">
        <is>
          <t>2026-10-07</t>
        </is>
      </c>
      <c r="D87" s="10" t="inlineStr">
        <is>
          <t>2026-10-08</t>
        </is>
      </c>
      <c r="E87" s="10" t="inlineStr"/>
      <c r="F87" s="10" t="inlineStr">
        <is>
          <t>non identifié publiquement</t>
        </is>
      </c>
      <c r="G87" s="10" t="inlineStr">
        <is>
          <t>Disney Hotel New York, Disneyland Paris</t>
        </is>
      </c>
      <c r="H87" s="10" t="inlineStr">
        <is>
          <t>Chessy</t>
        </is>
      </c>
      <c r="I87" s="10" t="inlineStr">
        <is>
          <t>77</t>
        </is>
      </c>
      <c r="J87" s="10" t="inlineStr">
        <is>
          <t>présentiel</t>
        </is>
      </c>
      <c r="K87" s="11" t="inlineStr">
        <is>
          <t>Forum PHP 2026 : 8-9 octobre à Disneyland Paris. 750 devs, 30+ conférences, speakers de haut niveau. Tarif 340€HT. Inscrivez-vous.</t>
        </is>
      </c>
      <c r="L87" s="11" t="inlineStr">
        <is>
          <t>non identifié publiquement</t>
        </is>
      </c>
      <c r="M87" s="10" t="inlineStr">
        <is>
          <t>Numerique, informatique, technologies</t>
        </is>
      </c>
      <c r="N87" s="10" t="inlineStr">
        <is>
          <t>non identifié publiquement</t>
        </is>
      </c>
      <c r="O87" s="10" t="inlineStr">
        <is>
          <t>non identifié publiquement</t>
        </is>
      </c>
      <c r="P87" s="10" t="inlineStr">
        <is>
          <t>ESTIME</t>
        </is>
      </c>
      <c r="Q87" s="11" t="inlineStr">
        <is>
          <t>Effectif attendu publie par l'agregateur specialise Agenda Tech pour cette edition</t>
        </is>
      </c>
      <c r="R87" s="10" t="inlineStr">
        <is>
          <t>non identifié publiquement</t>
        </is>
      </c>
      <c r="S87" s="10" t="inlineStr">
        <is>
          <t>non</t>
        </is>
      </c>
      <c r="T87" s="11" t="inlineStr"/>
      <c r="U87" s="10" t="inlineStr">
        <is>
          <t>non identifié publiquement</t>
        </is>
      </c>
      <c r="V87" s="10" t="inlineStr">
        <is>
          <t>https://www.agenda-tech.com/events/forum-php-2026</t>
        </is>
      </c>
      <c r="W87" s="10" t="inlineStr">
        <is>
          <t>2026-09-15</t>
        </is>
      </c>
      <c r="X87" s="11" t="inlineStr">
        <is>
          <t>Identifie via l'agregateur specialise Agenda Tech (donnees structurees schema.org publiees par l'organisateur).</t>
        </is>
      </c>
      <c r="Y87" s="7" t="inlineStr">
        <is>
          <t>4</t>
        </is>
      </c>
      <c r="Z87" s="7" t="inlineStr">
        <is>
          <t>Tech / IT / Logiciels / Télécom</t>
        </is>
      </c>
      <c r="AA87" s="7" t="inlineStr">
        <is>
          <t>0</t>
        </is>
      </c>
      <c r="AB87" s="7" t="inlineStr"/>
      <c r="AC87" s="7" t="inlineStr"/>
      <c r="AD87" s="7" t="inlineStr"/>
      <c r="AE87" s="7" t="inlineStr">
        <is>
          <t>0</t>
        </is>
      </c>
      <c r="AF87" s="7" t="inlineStr">
        <is>
          <t>Générique / Multi-éditeurs / Sans dominante</t>
        </is>
      </c>
      <c r="AG87" s="7" t="inlineStr">
        <is>
          <t>déduit</t>
        </is>
      </c>
      <c r="AH87" s="12" t="inlineStr">
        <is>
          <t>Deduit du secteur (axe 1)</t>
        </is>
      </c>
      <c r="AI87" s="7" t="inlineStr">
        <is>
          <t>5</t>
        </is>
      </c>
      <c r="AJ87" s="7" t="inlineStr">
        <is>
          <t>401-2000</t>
        </is>
      </c>
      <c r="AK87" s="8" t="inlineStr">
        <is>
          <t>estimé</t>
        </is>
      </c>
      <c r="AL87" s="7" t="inlineStr">
        <is>
          <t>environ 750 participants</t>
        </is>
      </c>
      <c r="AM87" s="11" t="inlineStr">
        <is>
          <t>Effectif attendu publie par Agenda Tech (agregateur specialise, chiffre de l'organisateur ou de l'agregateur)</t>
        </is>
      </c>
      <c r="AN87" s="7" t="inlineStr">
        <is>
          <t>moyenne</t>
        </is>
      </c>
      <c r="AO87" s="7" t="inlineStr">
        <is>
          <t>7</t>
        </is>
      </c>
      <c r="AP87" s="7" t="inlineStr">
        <is>
          <t>Experts / Advisors / Associations professionnelles</t>
        </is>
      </c>
      <c r="AQ87" s="8" t="inlineStr">
        <is>
          <t>estimé</t>
        </is>
      </c>
      <c r="AR87" s="12" t="inlineStr">
        <is>
          <t>Congres de societe savante ou d'association professionnelle du secteur sante</t>
        </is>
      </c>
      <c r="AS87" s="7" t="inlineStr">
        <is>
          <t>2</t>
        </is>
      </c>
      <c r="AT87" s="7" t="inlineStr">
        <is>
          <t>Moyen</t>
        </is>
      </c>
      <c r="AU87" s="8" t="inlineStr">
        <is>
          <t>estimé</t>
        </is>
      </c>
      <c r="AV87" s="12" t="inlineStr">
        <is>
          <t>Tarif payant publie par Agenda Tech</t>
        </is>
      </c>
      <c r="AW87" s="7" t="inlineStr">
        <is>
          <t>S:4 L:0 N:5 P:7 A:2</t>
        </is>
      </c>
    </row>
    <row r="88">
      <c r="A88" s="10" t="inlineStr">
        <is>
          <t>Mieux comprendre les conflits pour mieux les prevenir</t>
        </is>
      </c>
      <c r="B88" s="10" t="inlineStr">
        <is>
          <t>CPME Paris - Les Entrepreneurs Paris</t>
        </is>
      </c>
      <c r="C88" s="10" t="inlineStr">
        <is>
          <t>2026-10-07</t>
        </is>
      </c>
      <c r="D88" s="10" t="inlineStr"/>
      <c r="E88" s="10" t="inlineStr"/>
      <c r="F88" s="10" t="inlineStr">
        <is>
          <t>non identifié publiquement</t>
        </is>
      </c>
      <c r="G88" s="10" t="inlineStr">
        <is>
          <t>Les Entrepreneurs Paris (CPME Paris), 19 rue de l'Amiral d'Estaing</t>
        </is>
      </c>
      <c r="H88" s="10" t="inlineStr">
        <is>
          <t>Paris 16e</t>
        </is>
      </c>
      <c r="I88" s="10" t="inlineStr">
        <is>
          <t>75</t>
        </is>
      </c>
      <c r="J88" s="10" t="inlineStr">
        <is>
          <t>présentiel</t>
        </is>
      </c>
      <c r="K88" s="11" t="inlineStr">
        <is>
          <t>Cette formation vous aidera à développer des compétences pour désamorcer les tensions et adopter une posture de médiation. À travers des outils concrets et des mises en situation, vous apprendrez à pr</t>
        </is>
      </c>
      <c r="L88" s="11" t="inlineStr">
        <is>
          <t>dirigeants et entrepreneurs adherents ou invites de la CPME Paris</t>
        </is>
      </c>
      <c r="M88" s="10" t="inlineStr">
        <is>
          <t>RH, mediation</t>
        </is>
      </c>
      <c r="N88" s="10" t="inlineStr">
        <is>
          <t>non identifié publiquement</t>
        </is>
      </c>
      <c r="O88" s="10" t="inlineStr">
        <is>
          <t>non identifié publiquement</t>
        </is>
      </c>
      <c r="P88" s="10" t="inlineStr"/>
      <c r="Q88" s="11" t="inlineStr"/>
      <c r="R88" s="10" t="inlineStr">
        <is>
          <t>réservé adhérents</t>
        </is>
      </c>
      <c r="S88" s="10" t="inlineStr">
        <is>
          <t>oui</t>
        </is>
      </c>
      <c r="T88" s="11" t="inlineStr">
        <is>
          <t>Evenement d'organisation patronale, oriente adherents CPME Paris</t>
        </is>
      </c>
      <c r="U88" s="10" t="inlineStr">
        <is>
          <t>non identifié publiquement</t>
        </is>
      </c>
      <c r="V88" s="10" t="inlineStr">
        <is>
          <t>https://cpmeparis.fr/agenda/</t>
        </is>
      </c>
      <c r="W88" s="10" t="inlineStr">
        <is>
          <t>2026-09-15</t>
        </is>
      </c>
      <c r="X88" s="11" t="inlineStr">
        <is>
          <t>Identifie via l'agenda public de la CPME Paris (Les Entrepreneurs Paris). Adresse du siege : 19 rue de l'Amiral d'Estaing, 75016 Paris.</t>
        </is>
      </c>
      <c r="Y88" s="7" t="inlineStr">
        <is>
          <t>0</t>
        </is>
      </c>
      <c r="Z88" s="7" t="inlineStr">
        <is>
          <t>Générique / Transversal</t>
        </is>
      </c>
      <c r="AA88" s="7" t="inlineStr"/>
      <c r="AB88" s="7" t="inlineStr"/>
      <c r="AC88" s="7" t="inlineStr">
        <is>
          <t>1</t>
        </is>
      </c>
      <c r="AD88" s="7" t="inlineStr">
        <is>
          <t>2</t>
        </is>
      </c>
      <c r="AE88" s="7" t="inlineStr">
        <is>
          <t>0</t>
        </is>
      </c>
      <c r="AF88" s="7" t="inlineStr">
        <is>
          <t>Générique / Multi-éditeurs / Sans dominante</t>
        </is>
      </c>
      <c r="AG88" s="8" t="inlineStr">
        <is>
          <t>estimé</t>
        </is>
      </c>
      <c r="AH88" s="12" t="inlineStr">
        <is>
          <t>Aucune dimension logicielle dans le positionnement de l'organisateur : rattache au 0 (sans dominante) plutot que laisse vide, conformement a la demande de non-vide</t>
        </is>
      </c>
      <c r="AI88" s="7" t="inlineStr">
        <is>
          <t>3</t>
        </is>
      </c>
      <c r="AJ88" s="7" t="inlineStr">
        <is>
          <t>41-120</t>
        </is>
      </c>
      <c r="AK88" s="8" t="inlineStr">
        <is>
          <t>estimé</t>
        </is>
      </c>
      <c r="AL88" s="7" t="inlineStr">
        <is>
          <t>estimation : 25 a 80 participants</t>
        </is>
      </c>
      <c r="AM88" s="11" t="inlineStr">
        <is>
          <t>Modele de format (rendez-vous d'organisation patronale), fourchette 25-80</t>
        </is>
      </c>
      <c r="AN88" s="7" t="inlineStr">
        <is>
          <t>moyenne</t>
        </is>
      </c>
      <c r="AO88" s="7" t="inlineStr">
        <is>
          <t>1</t>
        </is>
      </c>
      <c r="AP88" s="7" t="inlineStr">
        <is>
          <t>Décideurs PME/ETI</t>
        </is>
      </c>
      <c r="AQ88" s="7" t="inlineStr">
        <is>
          <t>constaté</t>
        </is>
      </c>
      <c r="AR88" s="12" t="inlineStr"/>
      <c r="AS88" s="7" t="inlineStr">
        <is>
          <t>2</t>
        </is>
      </c>
      <c r="AT88" s="7" t="inlineStr">
        <is>
          <t>Moyen</t>
        </is>
      </c>
      <c r="AU88" s="7" t="inlineStr">
        <is>
          <t>constaté</t>
        </is>
      </c>
      <c r="AV88" s="12" t="inlineStr"/>
      <c r="AW88" s="7" t="inlineStr">
        <is>
          <t>S:0 L:0 N:3 P:1 A:2</t>
        </is>
      </c>
    </row>
    <row r="89">
      <c r="A89" s="10" t="inlineStr">
        <is>
          <t>AMD Embedded Computing Summit</t>
        </is>
      </c>
      <c r="B89" s="10" t="inlineStr">
        <is>
          <t>AMD</t>
        </is>
      </c>
      <c r="C89" s="10" t="inlineStr">
        <is>
          <t>2026-10-08</t>
        </is>
      </c>
      <c r="D89" s="10" t="inlineStr"/>
      <c r="E89" s="10" t="inlineStr"/>
      <c r="F89" s="10" t="inlineStr">
        <is>
          <t>non identifié publiquement</t>
        </is>
      </c>
      <c r="G89" s="10" t="inlineStr">
        <is>
          <t>Palais des Congres d'Issy</t>
        </is>
      </c>
      <c r="H89" s="10" t="inlineStr">
        <is>
          <t>Issy-les-Moulineaux</t>
        </is>
      </c>
      <c r="I89" s="10" t="inlineStr">
        <is>
          <t>92</t>
        </is>
      </c>
      <c r="J89" s="10" t="inlineStr">
        <is>
          <t>présentiel</t>
        </is>
      </c>
      <c r="K89" s="11" t="inlineStr">
        <is>
          <t>ECS EMEA Paris 8 octobre 2026. Journée technique AMD réunissant ingénieurs et leaders tech sur les systèmes embarqués. Sessions, démos et Q&amp;A.</t>
        </is>
      </c>
      <c r="L89" s="11" t="inlineStr">
        <is>
          <t>non identifié publiquement</t>
        </is>
      </c>
      <c r="M89" s="10" t="inlineStr">
        <is>
          <t>Numerique, informatique, technologies</t>
        </is>
      </c>
      <c r="N89" s="10" t="inlineStr">
        <is>
          <t>non identifié publiquement</t>
        </is>
      </c>
      <c r="O89" s="10" t="inlineStr">
        <is>
          <t>non identifié publiquement</t>
        </is>
      </c>
      <c r="P89" s="10" t="inlineStr"/>
      <c r="Q89" s="11" t="inlineStr"/>
      <c r="R89" s="10" t="inlineStr">
        <is>
          <t>non identifié publiquement</t>
        </is>
      </c>
      <c r="S89" s="10" t="inlineStr">
        <is>
          <t>non</t>
        </is>
      </c>
      <c r="T89" s="11" t="inlineStr"/>
      <c r="U89" s="10" t="inlineStr">
        <is>
          <t>non identifié publiquement</t>
        </is>
      </c>
      <c r="V89" s="10" t="inlineStr">
        <is>
          <t>https://www.agenda-tech.com/events/amd-embedded-computing-summit-paris-2026</t>
        </is>
      </c>
      <c r="W89" s="10" t="inlineStr">
        <is>
          <t>2026-09-15</t>
        </is>
      </c>
      <c r="X89" s="11" t="inlineStr">
        <is>
          <t>Identifie via l'agregateur specialise Agenda Tech (donnees structurees schema.org publiees par l'organisateur).</t>
        </is>
      </c>
      <c r="Y89" s="7" t="inlineStr">
        <is>
          <t>3|4</t>
        </is>
      </c>
      <c r="Z89" s="7" t="inlineStr">
        <is>
          <t>Industrie / Manufacturing / Automobile / Aéronautique + Tech / IT / Logiciels / Télécom</t>
        </is>
      </c>
      <c r="AA89" s="7" t="inlineStr">
        <is>
          <t>0</t>
        </is>
      </c>
      <c r="AB89" s="7" t="inlineStr"/>
      <c r="AC89" s="7" t="inlineStr"/>
      <c r="AD89" s="7" t="inlineStr"/>
      <c r="AE89" s="7" t="inlineStr">
        <is>
          <t>0</t>
        </is>
      </c>
      <c r="AF89" s="7" t="inlineStr">
        <is>
          <t>Générique / Multi-éditeurs / Sans dominante</t>
        </is>
      </c>
      <c r="AG89" s="7" t="inlineStr">
        <is>
          <t>déduit</t>
        </is>
      </c>
      <c r="AH89" s="12" t="inlineStr">
        <is>
          <t>Deduit du secteur (axe 1)</t>
        </is>
      </c>
      <c r="AI89" s="7" t="inlineStr">
        <is>
          <t>5</t>
        </is>
      </c>
      <c r="AJ89" s="7" t="inlineStr">
        <is>
          <t>401-2000</t>
        </is>
      </c>
      <c r="AK89" s="8" t="inlineStr">
        <is>
          <t>estimé</t>
        </is>
      </c>
      <c r="AL89" s="7" t="inlineStr">
        <is>
          <t>estimation : 300 a 1200 participants</t>
        </is>
      </c>
      <c r="AM89" s="11" t="inlineStr">
        <is>
          <t>Modele de format (convention client d'editeur ou d'integrateur), fourchette 300-1200, plafonnee par la capacite du lieu (Palais des Congres d'Issy ~ 1200)</t>
        </is>
      </c>
      <c r="AN89" s="7" t="inlineStr">
        <is>
          <t>moyenne</t>
        </is>
      </c>
      <c r="AO89" s="7" t="inlineStr">
        <is>
          <t>1|3</t>
        </is>
      </c>
      <c r="AP89" s="7" t="inlineStr">
        <is>
          <t>Décideurs PME/ETI + Opérationnels / Utilisateurs métier</t>
        </is>
      </c>
      <c r="AQ89" s="8" t="inlineStr">
        <is>
          <t>estimé</t>
        </is>
      </c>
      <c r="AR89" s="12" t="inlineStr">
        <is>
          <t>Convention client d'editeur : decideurs IT et utilisateurs metier</t>
        </is>
      </c>
      <c r="AS89" s="7" t="inlineStr">
        <is>
          <t>1</t>
        </is>
      </c>
      <c r="AT89" s="7" t="inlineStr">
        <is>
          <t>Facile</t>
        </is>
      </c>
      <c r="AU89" s="8" t="inlineStr">
        <is>
          <t>estimé</t>
        </is>
      </c>
      <c r="AV89" s="12" t="inlineStr">
        <is>
          <t>Tarif 'Gratuit' publie par Agenda Tech</t>
        </is>
      </c>
      <c r="AW89" s="7" t="inlineStr">
        <is>
          <t>S:3|4 L:0 N:5 P:1|3 A:1</t>
        </is>
      </c>
    </row>
    <row r="90">
      <c r="A90" s="10" t="inlineStr">
        <is>
          <t>BIG 2026 - Bpifrance Inno Generation</t>
        </is>
      </c>
      <c r="B90" s="10" t="inlineStr">
        <is>
          <t>Bpifrance</t>
        </is>
      </c>
      <c r="C90" s="10" t="inlineStr">
        <is>
          <t>2026-10-08</t>
        </is>
      </c>
      <c r="D90" s="10" t="inlineStr"/>
      <c r="E90" s="10" t="inlineStr"/>
      <c r="F90" s="10" t="inlineStr">
        <is>
          <t>annuel</t>
        </is>
      </c>
      <c r="G90" s="10" t="inlineStr">
        <is>
          <t>Accor Arena, 8 boulevard de Bercy</t>
        </is>
      </c>
      <c r="H90" s="10" t="inlineStr">
        <is>
          <t>Paris 12e</t>
        </is>
      </c>
      <c r="I90" s="10" t="inlineStr">
        <is>
          <t>75</t>
        </is>
      </c>
      <c r="J90" s="10" t="inlineStr">
        <is>
          <t>hybride</t>
        </is>
      </c>
      <c r="K90" s="11" t="inlineStr">
        <is>
          <t>Plus grand rassemblement entrepreneurial d'Europe : 500+ ateliers et conferences sur une journee, de 7h30 a 19h.</t>
        </is>
      </c>
      <c r="L90" s="11" t="inlineStr">
        <is>
          <t>Le grand rassemblement des entrepreneurs en France</t>
        </is>
      </c>
      <c r="M90" s="10" t="inlineStr">
        <is>
          <t>Tous secteurs - entrepreneuriat, financement, innovation, international</t>
        </is>
      </c>
      <c r="N90" s="10" t="inlineStr">
        <is>
          <t>non identifié publiquement (programme pluri-thematique incluant IA et numerique)</t>
        </is>
      </c>
      <c r="O90" s="10" t="inlineStr">
        <is>
          <t>plus de 75 000 inscrits, plus de 1 000 intervenants, plus de 500 conferences et ateliers, plus de 225 heures de contenus</t>
        </is>
      </c>
      <c r="P90" s="10" t="inlineStr">
        <is>
          <t>CONFIRME</t>
        </is>
      </c>
      <c r="Q90" s="11" t="inlineStr">
        <is>
          <t>Chiffres affiches par l'organisateur sur big.bpifrance.fr (base sur l'edition 2025) et repris par la fiche Accor Arena</t>
        </is>
      </c>
      <c r="R90" s="10" t="inlineStr">
        <is>
          <t>inscription libre</t>
        </is>
      </c>
      <c r="S90" s="10" t="inlineStr">
        <is>
          <t>non</t>
        </is>
      </c>
      <c r="T90" s="11" t="inlineStr"/>
      <c r="U90" s="10" t="inlineStr">
        <is>
          <t>non identifié publiquement</t>
        </is>
      </c>
      <c r="V90" s="10" t="inlineStr">
        <is>
          <t>https://big.bpifrance.fr/</t>
        </is>
      </c>
      <c r="W90" s="10" t="inlineStr">
        <is>
          <t>2026-09-15</t>
        </is>
      </c>
      <c r="X90" s="11" t="inlineStr">
        <is>
          <t>EVENEMENT LE PLUS VOLUMINEUX DE LA PERIODE. Horaires 7h30-19h. Format hybride : presentiel Accor Arena et diffusion en ligne. Espaces : Place du Village, Bang, Agora, Echo. Densite de dirigeants de PME/ETI inegalee sur la fenetre.</t>
        </is>
      </c>
      <c r="Y90" s="7" t="inlineStr">
        <is>
          <t>0</t>
        </is>
      </c>
      <c r="Z90" s="7" t="inlineStr">
        <is>
          <t>Générique / Transversal</t>
        </is>
      </c>
      <c r="AA90" s="7" t="inlineStr">
        <is>
          <t>11</t>
        </is>
      </c>
      <c r="AB90" s="7" t="inlineStr">
        <is>
          <t>6</t>
        </is>
      </c>
      <c r="AC90" s="7" t="inlineStr">
        <is>
          <t>1</t>
        </is>
      </c>
      <c r="AD90" s="7" t="inlineStr">
        <is>
          <t>2</t>
        </is>
      </c>
      <c r="AE90" s="7" t="inlineStr">
        <is>
          <t>11</t>
        </is>
      </c>
      <c r="AF90" s="7" t="inlineStr">
        <is>
          <t>IA / Automatisation / No-code / Low-code</t>
        </is>
      </c>
      <c r="AG90" s="7" t="inlineStr">
        <is>
          <t>constaté</t>
        </is>
      </c>
      <c r="AH90" s="12" t="inlineStr"/>
      <c r="AI90" s="7" t="inlineStr">
        <is>
          <t>6</t>
        </is>
      </c>
      <c r="AJ90" s="7" t="inlineStr">
        <is>
          <t>&gt;2000</t>
        </is>
      </c>
      <c r="AK90" s="7" t="inlineStr">
        <is>
          <t>constaté</t>
        </is>
      </c>
      <c r="AL90" s="7" t="inlineStr">
        <is>
          <t>plus de 75 000 inscrits, plus de 1 000 intervenants, plus de 500 conferences et ateliers, plus de 225 heures de contenus</t>
        </is>
      </c>
      <c r="AM90" s="11" t="inlineStr">
        <is>
          <t>Chiffre publie par l'organisateur (colonne taille_source)</t>
        </is>
      </c>
      <c r="AN90" s="7" t="inlineStr">
        <is>
          <t>haute</t>
        </is>
      </c>
      <c r="AO90" s="7" t="inlineStr">
        <is>
          <t>1</t>
        </is>
      </c>
      <c r="AP90" s="7" t="inlineStr">
        <is>
          <t>Décideurs PME/ETI</t>
        </is>
      </c>
      <c r="AQ90" s="7" t="inlineStr">
        <is>
          <t>constaté</t>
        </is>
      </c>
      <c r="AR90" s="12" t="inlineStr"/>
      <c r="AS90" s="7" t="inlineStr">
        <is>
          <t>2</t>
        </is>
      </c>
      <c r="AT90" s="7" t="inlineStr">
        <is>
          <t>Moyen</t>
        </is>
      </c>
      <c r="AU90" s="7" t="inlineStr">
        <is>
          <t>constaté</t>
        </is>
      </c>
      <c r="AV90" s="12" t="inlineStr"/>
      <c r="AW90" s="7" t="inlineStr">
        <is>
          <t>S:0 L:11 N:6 P:1 A:2</t>
        </is>
      </c>
    </row>
    <row r="91">
      <c r="A91" s="10" t="inlineStr">
        <is>
          <t>CIO Inspired Summit France</t>
        </is>
      </c>
      <c r="B91" s="10" t="inlineStr">
        <is>
          <t>Inspired Business Media</t>
        </is>
      </c>
      <c r="C91" s="10" t="inlineStr">
        <is>
          <t>2026-10-08</t>
        </is>
      </c>
      <c r="D91" s="10" t="inlineStr"/>
      <c r="E91" s="10" t="inlineStr"/>
      <c r="F91" s="10" t="inlineStr">
        <is>
          <t>non identifié publiquement</t>
        </is>
      </c>
      <c r="G91" s="10" t="inlineStr">
        <is>
          <t>Waldorf Astoria Versailles - Trianon Palace</t>
        </is>
      </c>
      <c r="H91" s="10" t="inlineStr">
        <is>
          <t>Versailles</t>
        </is>
      </c>
      <c r="I91" s="10" t="inlineStr">
        <is>
          <t>78</t>
        </is>
      </c>
      <c r="J91" s="10" t="inlineStr">
        <is>
          <t>présentiel</t>
        </is>
      </c>
      <c r="K91" s="11" t="inlineStr">
        <is>
          <t>Les DSI français se réunissent à Versailles pour explorer comment la transformation technologique redessine les enjeux RH de l'entreprise.</t>
        </is>
      </c>
      <c r="L91" s="11" t="inlineStr">
        <is>
          <t>non identifié publiquement</t>
        </is>
      </c>
      <c r="M91" s="10" t="inlineStr">
        <is>
          <t>Numerique, informatique, technologies</t>
        </is>
      </c>
      <c r="N91" s="10" t="inlineStr">
        <is>
          <t>non identifié publiquement</t>
        </is>
      </c>
      <c r="O91" s="10" t="inlineStr">
        <is>
          <t>non identifié publiquement</t>
        </is>
      </c>
      <c r="P91" s="10" t="inlineStr"/>
      <c r="Q91" s="11" t="inlineStr"/>
      <c r="R91" s="10" t="inlineStr">
        <is>
          <t>non identifié publiquement</t>
        </is>
      </c>
      <c r="S91" s="10" t="inlineStr">
        <is>
          <t>non</t>
        </is>
      </c>
      <c r="T91" s="11" t="inlineStr"/>
      <c r="U91" s="10" t="inlineStr">
        <is>
          <t>non identifié publiquement</t>
        </is>
      </c>
      <c r="V91" s="10" t="inlineStr">
        <is>
          <t>https://www.agenda-tech.com/events/cio-inspired-summit-france-2026</t>
        </is>
      </c>
      <c r="W91" s="10" t="inlineStr">
        <is>
          <t>2026-09-15</t>
        </is>
      </c>
      <c r="X91" s="11" t="inlineStr">
        <is>
          <t>Identifie via l'agregateur specialise Agenda Tech (donnees structurees schema.org publiees par l'organisateur).</t>
        </is>
      </c>
      <c r="Y91" s="7" t="inlineStr">
        <is>
          <t>4</t>
        </is>
      </c>
      <c r="Z91" s="7" t="inlineStr">
        <is>
          <t>Tech / IT / Logiciels / Télécom</t>
        </is>
      </c>
      <c r="AA91" s="7" t="inlineStr">
        <is>
          <t>4</t>
        </is>
      </c>
      <c r="AB91" s="7" t="inlineStr"/>
      <c r="AC91" s="7" t="inlineStr">
        <is>
          <t>1</t>
        </is>
      </c>
      <c r="AD91" s="7" t="inlineStr"/>
      <c r="AE91" s="7" t="inlineStr">
        <is>
          <t>4</t>
        </is>
      </c>
      <c r="AF91" s="7" t="inlineStr">
        <is>
          <t>RH / Paie / SIRH</t>
        </is>
      </c>
      <c r="AG91" s="7" t="inlineStr">
        <is>
          <t>constaté</t>
        </is>
      </c>
      <c r="AH91" s="12" t="inlineStr"/>
      <c r="AI91" s="7" t="inlineStr">
        <is>
          <t>5</t>
        </is>
      </c>
      <c r="AJ91" s="7" t="inlineStr">
        <is>
          <t>401-2000</t>
        </is>
      </c>
      <c r="AK91" s="8" t="inlineStr">
        <is>
          <t>estimé</t>
        </is>
      </c>
      <c r="AL91" s="7" t="inlineStr">
        <is>
          <t>estimation : 300 a 600 participants</t>
        </is>
      </c>
      <c r="AM91" s="11" t="inlineStr">
        <is>
          <t>Modele de format (convention client d'editeur ou d'integrateur), fourchette 300-600, plafonnee par la capacite du lieu (Waldorf Astoria Versailles - Trianon Pal ~ 600)</t>
        </is>
      </c>
      <c r="AN91" s="7" t="inlineStr">
        <is>
          <t>moyenne</t>
        </is>
      </c>
      <c r="AO91" s="7" t="inlineStr">
        <is>
          <t>1</t>
        </is>
      </c>
      <c r="AP91" s="7" t="inlineStr">
        <is>
          <t>Décideurs PME/ETI</t>
        </is>
      </c>
      <c r="AQ91" s="7" t="inlineStr">
        <is>
          <t>constaté</t>
        </is>
      </c>
      <c r="AR91" s="12" t="inlineStr"/>
      <c r="AS91" s="7" t="inlineStr">
        <is>
          <t>2</t>
        </is>
      </c>
      <c r="AT91" s="7" t="inlineStr">
        <is>
          <t>Moyen</t>
        </is>
      </c>
      <c r="AU91" s="8" t="inlineStr">
        <is>
          <t>estimé</t>
        </is>
      </c>
      <c r="AV91" s="12" t="inlineStr">
        <is>
          <t>Tarif payant publie par Agenda Tech</t>
        </is>
      </c>
      <c r="AW91" s="7" t="inlineStr">
        <is>
          <t>S:4 L:4 N:5 P:1 A:2</t>
        </is>
      </c>
    </row>
    <row r="92">
      <c r="A92" s="10" t="inlineStr">
        <is>
          <t>CISO Inspired Summit France</t>
        </is>
      </c>
      <c r="B92" s="10" t="inlineStr">
        <is>
          <t>Inspired Business Media</t>
        </is>
      </c>
      <c r="C92" s="10" t="inlineStr">
        <is>
          <t>2026-10-08</t>
        </is>
      </c>
      <c r="D92" s="10" t="inlineStr"/>
      <c r="E92" s="10" t="inlineStr"/>
      <c r="F92" s="10" t="inlineStr">
        <is>
          <t>non identifié publiquement</t>
        </is>
      </c>
      <c r="G92" s="10" t="inlineStr">
        <is>
          <t>Waldorf Astoria Versailles - Trianon Palace</t>
        </is>
      </c>
      <c r="H92" s="10" t="inlineStr">
        <is>
          <t>Versailles</t>
        </is>
      </c>
      <c r="I92" s="10" t="inlineStr">
        <is>
          <t>78</t>
        </is>
      </c>
      <c r="J92" s="10" t="inlineStr">
        <is>
          <t>présentiel</t>
        </is>
      </c>
      <c r="K92" s="11" t="inlineStr">
        <is>
          <t>8 octobre 2026 à Versailles. Sommet cybersécurité pour DSI et CISO. Explorez l'IA et la transformation digitale en sécurité informatique.</t>
        </is>
      </c>
      <c r="L92" s="11" t="inlineStr">
        <is>
          <t>non identifié publiquement</t>
        </is>
      </c>
      <c r="M92" s="10" t="inlineStr">
        <is>
          <t>Numerique, informatique, technologies</t>
        </is>
      </c>
      <c r="N92" s="10" t="inlineStr">
        <is>
          <t>CISO Inspired Summit France - 8 octobre 2026 à Versailles. Sommet cybersécurité pour DSI et CISO. Explorez l'IA et la transformation digital</t>
        </is>
      </c>
      <c r="O92" s="10" t="inlineStr">
        <is>
          <t>non identifié publiquement</t>
        </is>
      </c>
      <c r="P92" s="10" t="inlineStr"/>
      <c r="Q92" s="11" t="inlineStr"/>
      <c r="R92" s="10" t="inlineStr">
        <is>
          <t>non identifié publiquement</t>
        </is>
      </c>
      <c r="S92" s="10" t="inlineStr">
        <is>
          <t>non</t>
        </is>
      </c>
      <c r="T92" s="11" t="inlineStr"/>
      <c r="U92" s="10" t="inlineStr">
        <is>
          <t>non identifié publiquement</t>
        </is>
      </c>
      <c r="V92" s="10" t="inlineStr">
        <is>
          <t>https://www.agenda-tech.com/events/ciso-inspired-summit-france-2026</t>
        </is>
      </c>
      <c r="W92" s="10" t="inlineStr">
        <is>
          <t>2026-09-15</t>
        </is>
      </c>
      <c r="X92" s="11" t="inlineStr">
        <is>
          <t>Identifie via l'agregateur specialise Agenda Tech (donnees structurees schema.org publiees par l'organisateur).</t>
        </is>
      </c>
      <c r="Y92" s="7" t="inlineStr">
        <is>
          <t>4</t>
        </is>
      </c>
      <c r="Z92" s="7" t="inlineStr">
        <is>
          <t>Tech / IT / Logiciels / Télécom</t>
        </is>
      </c>
      <c r="AA92" s="7" t="inlineStr">
        <is>
          <t>10</t>
        </is>
      </c>
      <c r="AB92" s="7" t="inlineStr"/>
      <c r="AC92" s="7" t="inlineStr">
        <is>
          <t>1</t>
        </is>
      </c>
      <c r="AD92" s="7" t="inlineStr"/>
      <c r="AE92" s="7" t="inlineStr">
        <is>
          <t>10</t>
        </is>
      </c>
      <c r="AF92" s="7" t="inlineStr">
        <is>
          <t>Cybersécurité</t>
        </is>
      </c>
      <c r="AG92" s="7" t="inlineStr">
        <is>
          <t>constaté</t>
        </is>
      </c>
      <c r="AH92" s="12" t="inlineStr"/>
      <c r="AI92" s="7" t="inlineStr">
        <is>
          <t>4</t>
        </is>
      </c>
      <c r="AJ92" s="7" t="inlineStr">
        <is>
          <t>121-400</t>
        </is>
      </c>
      <c r="AK92" s="8" t="inlineStr">
        <is>
          <t>estimé</t>
        </is>
      </c>
      <c r="AL92" s="7" t="inlineStr">
        <is>
          <t>estimation : 150 a 500 participants</t>
        </is>
      </c>
      <c r="AM92" s="11" t="inlineStr">
        <is>
          <t>Modele de format (sommet de dirigeants sur invitation), fourchette 150-500, plafonnee par la capacite du lieu (Waldorf Astoria Versailles - Trianon Pal ~ 600)</t>
        </is>
      </c>
      <c r="AN92" s="7" t="inlineStr">
        <is>
          <t>moyenne</t>
        </is>
      </c>
      <c r="AO92" s="7" t="inlineStr">
        <is>
          <t>1</t>
        </is>
      </c>
      <c r="AP92" s="7" t="inlineStr">
        <is>
          <t>Décideurs PME/ETI</t>
        </is>
      </c>
      <c r="AQ92" s="7" t="inlineStr">
        <is>
          <t>constaté</t>
        </is>
      </c>
      <c r="AR92" s="12" t="inlineStr"/>
      <c r="AS92" s="7" t="inlineStr">
        <is>
          <t>2</t>
        </is>
      </c>
      <c r="AT92" s="7" t="inlineStr">
        <is>
          <t>Moyen</t>
        </is>
      </c>
      <c r="AU92" s="8" t="inlineStr">
        <is>
          <t>estimé</t>
        </is>
      </c>
      <c r="AV92" s="12" t="inlineStr">
        <is>
          <t>Tarif payant publie par Agenda Tech</t>
        </is>
      </c>
      <c r="AW92" s="7" t="inlineStr">
        <is>
          <t>S:4 L:10 N:4 P:1 A:2</t>
        </is>
      </c>
    </row>
    <row r="93">
      <c r="A93" s="10" t="inlineStr">
        <is>
          <t>Cegid Connections Enterprise 2026</t>
        </is>
      </c>
      <c r="B93" s="10" t="inlineStr">
        <is>
          <t>Cegid</t>
        </is>
      </c>
      <c r="C93" s="10" t="inlineStr">
        <is>
          <t>2026-10-08</t>
        </is>
      </c>
      <c r="D93" s="10" t="inlineStr"/>
      <c r="E93" s="10" t="inlineStr"/>
      <c r="F93" s="10" t="inlineStr">
        <is>
          <t>non identifié publiquement</t>
        </is>
      </c>
      <c r="G93" s="10" t="inlineStr">
        <is>
          <t>Palais Brongniart</t>
        </is>
      </c>
      <c r="H93" s="10" t="inlineStr">
        <is>
          <t>Paris (arrondissement selon le lieu)</t>
        </is>
      </c>
      <c r="I93" s="10" t="inlineStr">
        <is>
          <t>75</t>
        </is>
      </c>
      <c r="J93" s="10" t="inlineStr">
        <is>
          <t>présentiel</t>
        </is>
      </c>
      <c r="K93" s="11" t="inlineStr">
        <is>
          <t>Cegid Connections Enterprise 2026 le 8 octobre au Palais Brongniart à Paris. +700 visiteurs, 20 exposants, 12 ateliers experts et networking.</t>
        </is>
      </c>
      <c r="L93" s="11" t="inlineStr">
        <is>
          <t>non identifié publiquement</t>
        </is>
      </c>
      <c r="M93" s="10" t="inlineStr">
        <is>
          <t>Numerique, informatique, technologies</t>
        </is>
      </c>
      <c r="N93" s="10" t="inlineStr">
        <is>
          <t>non identifié publiquement</t>
        </is>
      </c>
      <c r="O93" s="10" t="inlineStr">
        <is>
          <t>non identifié publiquement</t>
        </is>
      </c>
      <c r="P93" s="10" t="inlineStr">
        <is>
          <t>CONFIRME</t>
        </is>
      </c>
      <c r="Q93" s="11" t="inlineStr">
        <is>
          <t>Chiffres annonces par Cegid pour l'edition 2026</t>
        </is>
      </c>
      <c r="R93" s="10" t="inlineStr">
        <is>
          <t>non identifié publiquement</t>
        </is>
      </c>
      <c r="S93" s="10" t="inlineStr">
        <is>
          <t>non</t>
        </is>
      </c>
      <c r="T93" s="11" t="inlineStr"/>
      <c r="U93" s="10" t="inlineStr">
        <is>
          <t>non identifié publiquement</t>
        </is>
      </c>
      <c r="V93" s="10" t="inlineStr">
        <is>
          <t>https://www.agenda-tech.com/events/cegid-connections-enterprise-2026</t>
        </is>
      </c>
      <c r="W93" s="10" t="inlineStr">
        <is>
          <t>2026-09-15</t>
        </is>
      </c>
      <c r="X93" s="11" t="inlineStr">
        <is>
          <t>Identifie via l'agregateur specialise Agenda Tech (donnees structurees schema.org publiees par l'organisateur).</t>
        </is>
      </c>
      <c r="Y93" s="7" t="inlineStr">
        <is>
          <t>4</t>
        </is>
      </c>
      <c r="Z93" s="7" t="inlineStr">
        <is>
          <t>Tech / IT / Logiciels / Télécom</t>
        </is>
      </c>
      <c r="AA93" s="7" t="inlineStr">
        <is>
          <t>0</t>
        </is>
      </c>
      <c r="AB93" s="7" t="inlineStr"/>
      <c r="AC93" s="7" t="inlineStr">
        <is>
          <t>5|7</t>
        </is>
      </c>
      <c r="AD93" s="7" t="inlineStr"/>
      <c r="AE93" s="7" t="inlineStr">
        <is>
          <t>0</t>
        </is>
      </c>
      <c r="AF93" s="7" t="inlineStr">
        <is>
          <t>Générique / Multi-éditeurs / Sans dominante</t>
        </is>
      </c>
      <c r="AG93" s="7" t="inlineStr">
        <is>
          <t>déduit</t>
        </is>
      </c>
      <c r="AH93" s="12" t="inlineStr">
        <is>
          <t>Deduit du secteur (axe 1)</t>
        </is>
      </c>
      <c r="AI93" s="7" t="inlineStr">
        <is>
          <t>5</t>
        </is>
      </c>
      <c r="AJ93" s="7" t="inlineStr">
        <is>
          <t>401-2000</t>
        </is>
      </c>
      <c r="AK93" s="7" t="inlineStr">
        <is>
          <t>constaté</t>
        </is>
      </c>
      <c r="AL93" s="7" t="inlineStr">
        <is>
          <t>plus de 700 visiteurs, une vingtaine d'exposants, 12 ateliers experts</t>
        </is>
      </c>
      <c r="AM93" s="11" t="inlineStr">
        <is>
          <t>Chiffres annonces par Cegid pour l'edition 2026</t>
        </is>
      </c>
      <c r="AN93" s="7" t="inlineStr">
        <is>
          <t>haute</t>
        </is>
      </c>
      <c r="AO93" s="7" t="inlineStr">
        <is>
          <t>5|7</t>
        </is>
      </c>
      <c r="AP93" s="7" t="inlineStr">
        <is>
          <t>Pairs / Concurrents / Acteurs de l'offre + Experts / Advisors / Associations professionnelles</t>
        </is>
      </c>
      <c r="AQ93" s="7" t="inlineStr">
        <is>
          <t>constaté</t>
        </is>
      </c>
      <c r="AR93" s="12" t="inlineStr"/>
      <c r="AS93" s="7" t="inlineStr">
        <is>
          <t>2</t>
        </is>
      </c>
      <c r="AT93" s="7" t="inlineStr">
        <is>
          <t>Moyen</t>
        </is>
      </c>
      <c r="AU93" s="8" t="inlineStr">
        <is>
          <t>estimé</t>
        </is>
      </c>
      <c r="AV93" s="12" t="inlineStr">
        <is>
          <t>Billetterie en vente libre (mention 'Voir tarifs sur le site' chez Agenda Tech), sans gratuite confirmee</t>
        </is>
      </c>
      <c r="AW93" s="7" t="inlineStr">
        <is>
          <t>S:4 L:0 N:5 P:5|7 A:2</t>
        </is>
      </c>
    </row>
    <row r="94">
      <c r="A94" s="10" t="inlineStr">
        <is>
          <t>Entrepreneurs : et si vous testiez l'Hyrox ? (8 octobre 2026)</t>
        </is>
      </c>
      <c r="B94" s="10" t="inlineStr">
        <is>
          <t>CPME Paris - Les Entrepreneurs Paris</t>
        </is>
      </c>
      <c r="C94" s="10" t="inlineStr">
        <is>
          <t>2026-10-08</t>
        </is>
      </c>
      <c r="D94" s="10" t="inlineStr"/>
      <c r="E94" s="10" t="inlineStr"/>
      <c r="F94" s="10" t="inlineStr">
        <is>
          <t>non identifié publiquement</t>
        </is>
      </c>
      <c r="G94" s="10" t="inlineStr">
        <is>
          <t>CrossFit Rive Gauche</t>
        </is>
      </c>
      <c r="H94" s="10" t="inlineStr">
        <is>
          <t>non identifié publiquement</t>
        </is>
      </c>
      <c r="I94" s="10" t="inlineStr">
        <is>
          <t>75</t>
        </is>
      </c>
      <c r="J94" s="10" t="inlineStr">
        <is>
          <t>présentiel</t>
        </is>
      </c>
      <c r="K94" s="11" t="inlineStr">
        <is>
          <t>À l’occasion de la Semaine de la Santé des Entrepreneurs, nous vous invitons à découvrir une discipline qui fait beaucoup parler d’elle : l’Hyrox.</t>
        </is>
      </c>
      <c r="L94" s="11" t="inlineStr">
        <is>
          <t>dirigeants et entrepreneurs adherents ou invites de la CPME Paris</t>
        </is>
      </c>
      <c r="M94" s="10" t="inlineStr">
        <is>
          <t>Sante du dirigeant, networking</t>
        </is>
      </c>
      <c r="N94" s="10" t="inlineStr">
        <is>
          <t>non identifié publiquement</t>
        </is>
      </c>
      <c r="O94" s="10" t="inlineStr">
        <is>
          <t>non identifié publiquement</t>
        </is>
      </c>
      <c r="P94" s="10" t="inlineStr"/>
      <c r="Q94" s="11" t="inlineStr"/>
      <c r="R94" s="10" t="inlineStr">
        <is>
          <t>réservé adhérents</t>
        </is>
      </c>
      <c r="S94" s="10" t="inlineStr">
        <is>
          <t>oui</t>
        </is>
      </c>
      <c r="T94" s="11" t="inlineStr">
        <is>
          <t>Evenement d'organisation patronale, oriente adherents CPME Paris</t>
        </is>
      </c>
      <c r="U94" s="10" t="inlineStr">
        <is>
          <t>non identifié publiquement</t>
        </is>
      </c>
      <c r="V94" s="10" t="inlineStr">
        <is>
          <t>https://cpmeparis.fr/agenda/</t>
        </is>
      </c>
      <c r="W94" s="10" t="inlineStr">
        <is>
          <t>2026-09-15</t>
        </is>
      </c>
      <c r="X94" s="11" t="inlineStr">
        <is>
          <t>Inscrit dans la Semaine de la Sante des Entrepreneurs. Adresse de la salle non communiquee sur la fiche.</t>
        </is>
      </c>
      <c r="Y94" s="7" t="inlineStr">
        <is>
          <t>7</t>
        </is>
      </c>
      <c r="Z94" s="7" t="inlineStr">
        <is>
          <t>Santé / Pharma / Biotech / Medtech</t>
        </is>
      </c>
      <c r="AA94" s="7" t="inlineStr"/>
      <c r="AB94" s="7" t="inlineStr"/>
      <c r="AC94" s="7" t="inlineStr">
        <is>
          <t>1</t>
        </is>
      </c>
      <c r="AD94" s="7" t="inlineStr">
        <is>
          <t>2</t>
        </is>
      </c>
      <c r="AE94" s="7" t="inlineStr">
        <is>
          <t>0</t>
        </is>
      </c>
      <c r="AF94" s="7" t="inlineStr">
        <is>
          <t>Générique / Multi-éditeurs / Sans dominante</t>
        </is>
      </c>
      <c r="AG94" s="8" t="inlineStr">
        <is>
          <t>estimé</t>
        </is>
      </c>
      <c r="AH94" s="12" t="inlineStr">
        <is>
          <t>Aucune dimension logicielle dans le positionnement de l'organisateur : rattache au 0 (sans dominante) plutot que laisse vide, conformement a la demande de non-vide</t>
        </is>
      </c>
      <c r="AI94" s="7" t="inlineStr">
        <is>
          <t>3</t>
        </is>
      </c>
      <c r="AJ94" s="7" t="inlineStr">
        <is>
          <t>41-120</t>
        </is>
      </c>
      <c r="AK94" s="8" t="inlineStr">
        <is>
          <t>estimé</t>
        </is>
      </c>
      <c r="AL94" s="7" t="inlineStr">
        <is>
          <t>estimation : 40 a 120 participants</t>
        </is>
      </c>
      <c r="AM94" s="11" t="inlineStr">
        <is>
          <t>Modele de format (apero, meetup ou afterwork communautaire), fourchette 40-120, plafonnee par la capacite du lieu (CrossFit Rive Gauche ~ 120)</t>
        </is>
      </c>
      <c r="AN94" s="7" t="inlineStr">
        <is>
          <t>moyenne</t>
        </is>
      </c>
      <c r="AO94" s="7" t="inlineStr">
        <is>
          <t>1</t>
        </is>
      </c>
      <c r="AP94" s="7" t="inlineStr">
        <is>
          <t>Décideurs PME/ETI</t>
        </is>
      </c>
      <c r="AQ94" s="7" t="inlineStr">
        <is>
          <t>constaté</t>
        </is>
      </c>
      <c r="AR94" s="12" t="inlineStr"/>
      <c r="AS94" s="7" t="inlineStr">
        <is>
          <t>2</t>
        </is>
      </c>
      <c r="AT94" s="7" t="inlineStr">
        <is>
          <t>Moyen</t>
        </is>
      </c>
      <c r="AU94" s="7" t="inlineStr">
        <is>
          <t>constaté</t>
        </is>
      </c>
      <c r="AV94" s="12" t="inlineStr"/>
      <c r="AW94" s="7" t="inlineStr">
        <is>
          <t>S:7 L:0 N:3 P:1 A:2</t>
        </is>
      </c>
    </row>
    <row r="95">
      <c r="A95" s="10" t="inlineStr">
        <is>
          <t>Journees Francophones de Radiologie Diagnostique &amp; Interventionnelle (JFR) 2026</t>
        </is>
      </c>
      <c r="B95" s="10" t="inlineStr">
        <is>
          <t>Societe Francaise de Radiologie (SFR)</t>
        </is>
      </c>
      <c r="C95" s="10" t="inlineStr">
        <is>
          <t>2026-10-08</t>
        </is>
      </c>
      <c r="D95" s="10" t="inlineStr">
        <is>
          <t>2026-10-11</t>
        </is>
      </c>
      <c r="E95" s="10" t="inlineStr"/>
      <c r="F95" s="10" t="inlineStr">
        <is>
          <t>annuel</t>
        </is>
      </c>
      <c r="G95" s="10" t="inlineStr">
        <is>
          <t>Palais des Congres de Paris (Porte Maillot)</t>
        </is>
      </c>
      <c r="H95" s="10" t="inlineStr">
        <is>
          <t>Paris 17e</t>
        </is>
      </c>
      <c r="I95" s="10" t="inlineStr">
        <is>
          <t>75</t>
        </is>
      </c>
      <c r="J95" s="10" t="inlineStr">
        <is>
          <t>présentiel</t>
        </is>
      </c>
      <c r="K95" s="11" t="inlineStr">
        <is>
          <t>Congres annuel francophone de radiologie diagnostique et interventionnelle.</t>
        </is>
      </c>
      <c r="L95" s="11" t="inlineStr">
        <is>
          <t>non identifié publiquement</t>
        </is>
      </c>
      <c r="M95" s="10" t="inlineStr">
        <is>
          <t>Sante, imagerie medicale, radiologie</t>
        </is>
      </c>
      <c r="N95" s="10" t="inlineStr">
        <is>
          <t>Imagerie medicale et IA appliquee au diagnostic (thematique recurrente du congres, a confirmer sur le programme 2026)</t>
        </is>
      </c>
      <c r="O95" s="10" t="inlineStr">
        <is>
          <t>non identifié publiquement</t>
        </is>
      </c>
      <c r="P95" s="10" t="inlineStr">
        <is>
          <t>CONFIRME</t>
        </is>
      </c>
      <c r="Q95" s="11" t="inlineStr">
        <is>
          <t>Chiffre annonce par l'organisateur (jfrexpo.com) pour l'edition 2026</t>
        </is>
      </c>
      <c r="R95" s="10" t="inlineStr">
        <is>
          <t>billet payant</t>
        </is>
      </c>
      <c r="S95" s="10" t="inlineStr">
        <is>
          <t>oui</t>
        </is>
      </c>
      <c r="T95" s="11" t="inlineStr">
        <is>
          <t>Congres reserve aux professionnels de sante</t>
        </is>
      </c>
      <c r="U95" s="10" t="inlineStr">
        <is>
          <t>non identifié publiquement</t>
        </is>
      </c>
      <c r="V95" s="10" t="inlineStr">
        <is>
          <t>https://www.viparis.com/actualites-evenements/evenements/journees-francophones-de-radiologie-diagnostique-interventionnelle</t>
        </is>
      </c>
      <c r="W95" s="10" t="inlineStr">
        <is>
          <t>2026-09-15</t>
        </is>
      </c>
      <c r="X95" s="11" t="inlineStr">
        <is>
          <t>Identifie via l'agenda du lieu (Viparis). L'imagerie medicale est un des marches les plus avances sur l'IA : potentiel d'interet malgre le secteur sante.</t>
        </is>
      </c>
      <c r="Y95" s="7" t="inlineStr">
        <is>
          <t>7</t>
        </is>
      </c>
      <c r="Z95" s="7" t="inlineStr">
        <is>
          <t>Santé / Pharma / Biotech / Medtech</t>
        </is>
      </c>
      <c r="AA95" s="7" t="inlineStr">
        <is>
          <t>11</t>
        </is>
      </c>
      <c r="AB95" s="7" t="inlineStr"/>
      <c r="AC95" s="7" t="inlineStr">
        <is>
          <t>7</t>
        </is>
      </c>
      <c r="AD95" s="7" t="inlineStr">
        <is>
          <t>2</t>
        </is>
      </c>
      <c r="AE95" s="7" t="inlineStr">
        <is>
          <t>11</t>
        </is>
      </c>
      <c r="AF95" s="7" t="inlineStr">
        <is>
          <t>IA / Automatisation / No-code / Low-code</t>
        </is>
      </c>
      <c r="AG95" s="7" t="inlineStr">
        <is>
          <t>constaté</t>
        </is>
      </c>
      <c r="AH95" s="12" t="inlineStr"/>
      <c r="AI95" s="7" t="inlineStr">
        <is>
          <t>6</t>
        </is>
      </c>
      <c r="AJ95" s="7" t="inlineStr">
        <is>
          <t>&gt;2000</t>
        </is>
      </c>
      <c r="AK95" s="7" t="inlineStr">
        <is>
          <t>constaté</t>
        </is>
      </c>
      <c r="AL95" s="7" t="inlineStr">
        <is>
          <t>plus de 12 000 participants</t>
        </is>
      </c>
      <c r="AM95" s="11" t="inlineStr">
        <is>
          <t>Chiffre annonce par l'organisateur (jfrexpo.com) pour l'edition 2026</t>
        </is>
      </c>
      <c r="AN95" s="7" t="inlineStr">
        <is>
          <t>haute</t>
        </is>
      </c>
      <c r="AO95" s="7" t="inlineStr">
        <is>
          <t>7</t>
        </is>
      </c>
      <c r="AP95" s="7" t="inlineStr">
        <is>
          <t>Experts / Advisors / Associations professionnelles</t>
        </is>
      </c>
      <c r="AQ95" s="7" t="inlineStr">
        <is>
          <t>constaté</t>
        </is>
      </c>
      <c r="AR95" s="12" t="inlineStr"/>
      <c r="AS95" s="7" t="inlineStr">
        <is>
          <t>2</t>
        </is>
      </c>
      <c r="AT95" s="7" t="inlineStr">
        <is>
          <t>Moyen</t>
        </is>
      </c>
      <c r="AU95" s="7" t="inlineStr">
        <is>
          <t>constaté</t>
        </is>
      </c>
      <c r="AV95" s="12" t="inlineStr"/>
      <c r="AW95" s="7" t="inlineStr">
        <is>
          <t>S:7 L:11 N:6 P:7 A:2</t>
        </is>
      </c>
    </row>
    <row r="96">
      <c r="A96" s="10" t="inlineStr">
        <is>
          <t>La sante du dirigeant passe par la visibilite economique</t>
        </is>
      </c>
      <c r="B96" s="10" t="inlineStr">
        <is>
          <t>CPME Paris - Les Entrepreneurs Paris</t>
        </is>
      </c>
      <c r="C96" s="10" t="inlineStr">
        <is>
          <t>2026-10-08</t>
        </is>
      </c>
      <c r="D96" s="10" t="inlineStr"/>
      <c r="E96" s="10" t="inlineStr"/>
      <c r="F96" s="10" t="inlineStr">
        <is>
          <t>non identifié publiquement</t>
        </is>
      </c>
      <c r="G96" s="10" t="inlineStr">
        <is>
          <t>Les Entrepreneurs Paris (CPME Paris), 19 rue de l'Amiral d'Estaing</t>
        </is>
      </c>
      <c r="H96" s="10" t="inlineStr">
        <is>
          <t>Paris 16e</t>
        </is>
      </c>
      <c r="I96" s="10" t="inlineStr">
        <is>
          <t>75</t>
        </is>
      </c>
      <c r="J96" s="10" t="inlineStr">
        <is>
          <t>présentiel</t>
        </is>
      </c>
      <c r="K96" s="11" t="inlineStr">
        <is>
          <t xml:space="preserve">Être entrepreneur, c’est prendre des décisions en permanence dans un environnement souvent incertain. C’est dans ce cadre que s’inscrit cet atelier organisé à l’occasion de la Semaine de la Santé des </t>
        </is>
      </c>
      <c r="L96" s="11" t="inlineStr">
        <is>
          <t>dirigeants et entrepreneurs adherents ou invites de la CPME Paris</t>
        </is>
      </c>
      <c r="M96" s="10" t="inlineStr">
        <is>
          <t>Pilotage, sante du dirigeant</t>
        </is>
      </c>
      <c r="N96" s="10" t="inlineStr">
        <is>
          <t>non identifié publiquement</t>
        </is>
      </c>
      <c r="O96" s="10" t="inlineStr">
        <is>
          <t>non identifié publiquement</t>
        </is>
      </c>
      <c r="P96" s="10" t="inlineStr"/>
      <c r="Q96" s="11" t="inlineStr"/>
      <c r="R96" s="10" t="inlineStr">
        <is>
          <t>réservé adhérents</t>
        </is>
      </c>
      <c r="S96" s="10" t="inlineStr">
        <is>
          <t>oui</t>
        </is>
      </c>
      <c r="T96" s="11" t="inlineStr">
        <is>
          <t>Evenement d'organisation patronale, oriente adherents CPME Paris</t>
        </is>
      </c>
      <c r="U96" s="10" t="inlineStr">
        <is>
          <t>non identifié publiquement</t>
        </is>
      </c>
      <c r="V96" s="10" t="inlineStr">
        <is>
          <t>https://cpmeparis.fr/agenda/</t>
        </is>
      </c>
      <c r="W96" s="10" t="inlineStr">
        <is>
          <t>2026-09-15</t>
        </is>
      </c>
      <c r="X96" s="11" t="inlineStr">
        <is>
          <t>Inscrit dans la Semaine de la Sante des Entrepreneurs organisee par la CPME Paris.</t>
        </is>
      </c>
      <c r="Y96" s="7" t="inlineStr">
        <is>
          <t>7</t>
        </is>
      </c>
      <c r="Z96" s="7" t="inlineStr">
        <is>
          <t>Santé / Pharma / Biotech / Medtech</t>
        </is>
      </c>
      <c r="AA96" s="7" t="inlineStr"/>
      <c r="AB96" s="7" t="inlineStr"/>
      <c r="AC96" s="7" t="inlineStr">
        <is>
          <t>1</t>
        </is>
      </c>
      <c r="AD96" s="7" t="inlineStr">
        <is>
          <t>2</t>
        </is>
      </c>
      <c r="AE96" s="7" t="inlineStr">
        <is>
          <t>0</t>
        </is>
      </c>
      <c r="AF96" s="7" t="inlineStr">
        <is>
          <t>Générique / Multi-éditeurs / Sans dominante</t>
        </is>
      </c>
      <c r="AG96" s="8" t="inlineStr">
        <is>
          <t>estimé</t>
        </is>
      </c>
      <c r="AH96" s="12" t="inlineStr">
        <is>
          <t>Aucune dimension logicielle dans le positionnement de l'organisateur : rattache au 0 (sans dominante) plutot que laisse vide, conformement a la demande de non-vide</t>
        </is>
      </c>
      <c r="AI96" s="7" t="inlineStr">
        <is>
          <t>3</t>
        </is>
      </c>
      <c r="AJ96" s="7" t="inlineStr">
        <is>
          <t>41-120</t>
        </is>
      </c>
      <c r="AK96" s="8" t="inlineStr">
        <is>
          <t>estimé</t>
        </is>
      </c>
      <c r="AL96" s="7" t="inlineStr">
        <is>
          <t>estimation : 25 a 80 participants</t>
        </is>
      </c>
      <c r="AM96" s="11" t="inlineStr">
        <is>
          <t>Modele de format (rendez-vous d'organisation patronale), fourchette 25-80</t>
        </is>
      </c>
      <c r="AN96" s="7" t="inlineStr">
        <is>
          <t>moyenne</t>
        </is>
      </c>
      <c r="AO96" s="7" t="inlineStr">
        <is>
          <t>1</t>
        </is>
      </c>
      <c r="AP96" s="7" t="inlineStr">
        <is>
          <t>Décideurs PME/ETI</t>
        </is>
      </c>
      <c r="AQ96" s="7" t="inlineStr">
        <is>
          <t>constaté</t>
        </is>
      </c>
      <c r="AR96" s="12" t="inlineStr"/>
      <c r="AS96" s="7" t="inlineStr">
        <is>
          <t>2</t>
        </is>
      </c>
      <c r="AT96" s="7" t="inlineStr">
        <is>
          <t>Moyen</t>
        </is>
      </c>
      <c r="AU96" s="7" t="inlineStr">
        <is>
          <t>constaté</t>
        </is>
      </c>
      <c r="AV96" s="12" t="inlineStr"/>
      <c r="AW96" s="7" t="inlineStr">
        <is>
          <t>S:7 L:0 N:3 P:1 A:2</t>
        </is>
      </c>
    </row>
    <row r="97">
      <c r="A97" s="10" t="inlineStr">
        <is>
          <t>Les Rendez-vous de l'IA : creez des agents IA sans coder et gagnez en performance</t>
        </is>
      </c>
      <c r="B97" s="10" t="inlineStr">
        <is>
          <t>CCI Paris Ile-de-France</t>
        </is>
      </c>
      <c r="C97" s="10" t="inlineStr">
        <is>
          <t>2026-10-08</t>
        </is>
      </c>
      <c r="D97" s="10" t="inlineStr"/>
      <c r="E97" s="10" t="inlineStr"/>
      <c r="F97" s="10" t="inlineStr">
        <is>
          <t>non identifié publiquement</t>
        </is>
      </c>
      <c r="G97" s="10" t="inlineStr">
        <is>
          <t>CCI Hauts-de-Seine - Coeur Defense, Tour A, 2e etage</t>
        </is>
      </c>
      <c r="H97" s="10" t="inlineStr">
        <is>
          <t>Courbevoie (quartier Paris La Defense)</t>
        </is>
      </c>
      <c r="I97" s="10" t="inlineStr">
        <is>
          <t>92</t>
        </is>
      </c>
      <c r="J97" s="10" t="inlineStr">
        <is>
          <t>présentiel</t>
        </is>
      </c>
      <c r="K97" s="11" t="inlineStr">
        <is>
          <t>Rendez-vous de demonstration et de prise en main d'agents IA sans developpement.</t>
        </is>
      </c>
      <c r="L97" s="11" t="inlineStr">
        <is>
          <t>non identifié publiquement</t>
        </is>
      </c>
      <c r="M97" s="10" t="inlineStr">
        <is>
          <t>Tous secteurs</t>
        </is>
      </c>
      <c r="N97" s="10" t="inlineStr">
        <is>
          <t>Intelligence artificielle generative, agents IA, automatisation</t>
        </is>
      </c>
      <c r="O97" s="10" t="inlineStr">
        <is>
          <t>non identifié publiquement</t>
        </is>
      </c>
      <c r="P97" s="10" t="inlineStr"/>
      <c r="Q97" s="11" t="inlineStr"/>
      <c r="R97" s="10" t="inlineStr">
        <is>
          <t>inscription libre</t>
        </is>
      </c>
      <c r="S97" s="10" t="inlineStr">
        <is>
          <t>non</t>
        </is>
      </c>
      <c r="T97" s="11" t="inlineStr"/>
      <c r="U97" s="10" t="inlineStr">
        <is>
          <t>non identifié publiquement</t>
        </is>
      </c>
      <c r="V97" s="10" t="inlineStr">
        <is>
          <t>https://www.entreprises.cci-paris-idf.fr/evenements/les-rendez-vous-de-lia-creer-des-agents-ia-sans-coder-et-gagnez-en-performance</t>
        </is>
      </c>
      <c r="W97" s="10" t="inlineStr">
        <is>
          <t>2026-09-15</t>
        </is>
      </c>
      <c r="X97" s="11" t="inlineStr">
        <is>
          <t>ATELIER IA : concurrence directe ou partenariat possible pour une offre de conseil IA aupres des PME. La CCI Paris IDF a industrialise une offre IA pour TPE-PME sur la periode.</t>
        </is>
      </c>
      <c r="Y97" s="7" t="inlineStr">
        <is>
          <t>16</t>
        </is>
      </c>
      <c r="Z97" s="7" t="inlineStr">
        <is>
          <t>IA / Intelligence artificielle</t>
        </is>
      </c>
      <c r="AA97" s="7" t="inlineStr">
        <is>
          <t>11</t>
        </is>
      </c>
      <c r="AB97" s="7" t="inlineStr"/>
      <c r="AC97" s="7" t="inlineStr"/>
      <c r="AD97" s="7" t="inlineStr">
        <is>
          <t>2</t>
        </is>
      </c>
      <c r="AE97" s="7" t="inlineStr">
        <is>
          <t>11</t>
        </is>
      </c>
      <c r="AF97" s="7" t="inlineStr">
        <is>
          <t>IA / Automatisation / No-code / Low-code</t>
        </is>
      </c>
      <c r="AG97" s="7" t="inlineStr">
        <is>
          <t>constaté</t>
        </is>
      </c>
      <c r="AH97" s="12" t="inlineStr"/>
      <c r="AI97" s="7" t="inlineStr">
        <is>
          <t>2</t>
        </is>
      </c>
      <c r="AJ97" s="7" t="inlineStr">
        <is>
          <t>16-40</t>
        </is>
      </c>
      <c r="AK97" s="8" t="inlineStr">
        <is>
          <t>estimé</t>
        </is>
      </c>
      <c r="AL97" s="7" t="inlineStr">
        <is>
          <t>estimation : 15 a 60 participants</t>
        </is>
      </c>
      <c r="AM97" s="11" t="inlineStr">
        <is>
          <t>Modele de format (rendez-vous de chambre de commerce (atelier ou conference)), fourchette 15-60, plafonnee par la capacite du lieu (CCI Hauts-de-Seine - Coeur Defense, Tour ~ 120)</t>
        </is>
      </c>
      <c r="AN97" s="7" t="inlineStr">
        <is>
          <t>moyenne</t>
        </is>
      </c>
      <c r="AO97" s="7" t="inlineStr">
        <is>
          <t>1</t>
        </is>
      </c>
      <c r="AP97" s="7" t="inlineStr">
        <is>
          <t>Décideurs PME/ETI</t>
        </is>
      </c>
      <c r="AQ97" s="8" t="inlineStr">
        <is>
          <t>estimé</t>
        </is>
      </c>
      <c r="AR97" s="12" t="inlineStr">
        <is>
          <t>Organisateur CCI : public cible structurel de dirigeants et collaborateurs de TPE-PME</t>
        </is>
      </c>
      <c r="AS97" s="7" t="inlineStr">
        <is>
          <t>2</t>
        </is>
      </c>
      <c r="AT97" s="7" t="inlineStr">
        <is>
          <t>Moyen</t>
        </is>
      </c>
      <c r="AU97" s="7" t="inlineStr">
        <is>
          <t>constaté</t>
        </is>
      </c>
      <c r="AV97" s="12" t="inlineStr"/>
      <c r="AW97" s="7" t="inlineStr">
        <is>
          <t>S:16 L:11 N:2 P:1 A:2</t>
        </is>
      </c>
    </row>
    <row r="98">
      <c r="A98" s="10" t="inlineStr">
        <is>
          <t>Coaching collectif : prendre du recul pour mieux entreprendre</t>
        </is>
      </c>
      <c r="B98" s="10" t="inlineStr">
        <is>
          <t>CPME Paris - Les Entrepreneurs Paris</t>
        </is>
      </c>
      <c r="C98" s="10" t="inlineStr">
        <is>
          <t>2026-10-09</t>
        </is>
      </c>
      <c r="D98" s="10" t="inlineStr"/>
      <c r="E98" s="10" t="inlineStr"/>
      <c r="F98" s="10" t="inlineStr">
        <is>
          <t>non identifié publiquement</t>
        </is>
      </c>
      <c r="G98" s="10" t="inlineStr">
        <is>
          <t>Les Entrepreneurs Paris (CPME Paris), 19 rue de l'Amiral d'Estaing</t>
        </is>
      </c>
      <c r="H98" s="10" t="inlineStr">
        <is>
          <t>Paris 16e</t>
        </is>
      </c>
      <c r="I98" s="10" t="inlineStr">
        <is>
          <t>75</t>
        </is>
      </c>
      <c r="J98" s="10" t="inlineStr">
        <is>
          <t>présentiel</t>
        </is>
      </c>
      <c r="K98" s="11" t="inlineStr">
        <is>
          <t>Ces sessions de coaching collectifs proposent aux entrepreneurs un temps d’échange et de travail collaboratif autour de leurs enjeux de santé et de performance durable.</t>
        </is>
      </c>
      <c r="L98" s="11" t="inlineStr">
        <is>
          <t>dirigeants et entrepreneurs adherents ou invites de la CPME Paris</t>
        </is>
      </c>
      <c r="M98" s="10" t="inlineStr">
        <is>
          <t>Accompagnement dirigeant</t>
        </is>
      </c>
      <c r="N98" s="10" t="inlineStr">
        <is>
          <t>non identifié publiquement</t>
        </is>
      </c>
      <c r="O98" s="10" t="inlineStr">
        <is>
          <t>non identifié publiquement</t>
        </is>
      </c>
      <c r="P98" s="10" t="inlineStr"/>
      <c r="Q98" s="11" t="inlineStr"/>
      <c r="R98" s="10" t="inlineStr">
        <is>
          <t>réservé adhérents</t>
        </is>
      </c>
      <c r="S98" s="10" t="inlineStr">
        <is>
          <t>oui</t>
        </is>
      </c>
      <c r="T98" s="11" t="inlineStr">
        <is>
          <t>Evenement d'organisation patronale, oriente adherents CPME Paris</t>
        </is>
      </c>
      <c r="U98" s="10" t="inlineStr">
        <is>
          <t>non identifié publiquement</t>
        </is>
      </c>
      <c r="V98" s="10" t="inlineStr">
        <is>
          <t>https://cpmeparis.fr/agenda/</t>
        </is>
      </c>
      <c r="W98" s="10" t="inlineStr">
        <is>
          <t>2026-09-15</t>
        </is>
      </c>
      <c r="X98" s="11" t="inlineStr">
        <is>
          <t>Inscrit dans la Semaine de la Sante des Entrepreneurs organisee par la CPME Paris.</t>
        </is>
      </c>
      <c r="Y98" s="7" t="inlineStr">
        <is>
          <t>7</t>
        </is>
      </c>
      <c r="Z98" s="7" t="inlineStr">
        <is>
          <t>Santé / Pharma / Biotech / Medtech</t>
        </is>
      </c>
      <c r="AA98" s="7" t="inlineStr"/>
      <c r="AB98" s="7" t="inlineStr"/>
      <c r="AC98" s="7" t="inlineStr">
        <is>
          <t>1</t>
        </is>
      </c>
      <c r="AD98" s="7" t="inlineStr">
        <is>
          <t>2</t>
        </is>
      </c>
      <c r="AE98" s="7" t="inlineStr">
        <is>
          <t>0</t>
        </is>
      </c>
      <c r="AF98" s="7" t="inlineStr">
        <is>
          <t>Générique / Multi-éditeurs / Sans dominante</t>
        </is>
      </c>
      <c r="AG98" s="8" t="inlineStr">
        <is>
          <t>estimé</t>
        </is>
      </c>
      <c r="AH98" s="12" t="inlineStr">
        <is>
          <t>Aucune dimension logicielle dans le positionnement de l'organisateur : rattache au 0 (sans dominante) plutot que laisse vide, conformement a la demande de non-vide</t>
        </is>
      </c>
      <c r="AI98" s="7" t="inlineStr">
        <is>
          <t>3</t>
        </is>
      </c>
      <c r="AJ98" s="7" t="inlineStr">
        <is>
          <t>41-120</t>
        </is>
      </c>
      <c r="AK98" s="8" t="inlineStr">
        <is>
          <t>estimé</t>
        </is>
      </c>
      <c r="AL98" s="7" t="inlineStr">
        <is>
          <t>estimation : 40 a 150 participants</t>
        </is>
      </c>
      <c r="AM98" s="11" t="inlineStr">
        <is>
          <t>Modele de format (apero, meetup ou afterwork communautaire), fourchette 40-150</t>
        </is>
      </c>
      <c r="AN98" s="7" t="inlineStr">
        <is>
          <t>moyenne</t>
        </is>
      </c>
      <c r="AO98" s="7" t="inlineStr">
        <is>
          <t>1</t>
        </is>
      </c>
      <c r="AP98" s="7" t="inlineStr">
        <is>
          <t>Décideurs PME/ETI</t>
        </is>
      </c>
      <c r="AQ98" s="7" t="inlineStr">
        <is>
          <t>constaté</t>
        </is>
      </c>
      <c r="AR98" s="12" t="inlineStr"/>
      <c r="AS98" s="7" t="inlineStr">
        <is>
          <t>2</t>
        </is>
      </c>
      <c r="AT98" s="7" t="inlineStr">
        <is>
          <t>Moyen</t>
        </is>
      </c>
      <c r="AU98" s="7" t="inlineStr">
        <is>
          <t>constaté</t>
        </is>
      </c>
      <c r="AV98" s="12" t="inlineStr"/>
      <c r="AW98" s="7" t="inlineStr">
        <is>
          <t>S:7 L:0 N:3 P:1 A:2</t>
        </is>
      </c>
    </row>
    <row r="99">
      <c r="A99" s="10" t="inlineStr">
        <is>
          <t>Congres GAZELEC 2026</t>
        </is>
      </c>
      <c r="B99" s="10" t="inlineStr">
        <is>
          <t>non identifié publiquement</t>
        </is>
      </c>
      <c r="C99" s="10" t="inlineStr">
        <is>
          <t>2026-10-12</t>
        </is>
      </c>
      <c r="D99" s="10" t="inlineStr">
        <is>
          <t>2026-10-14</t>
        </is>
      </c>
      <c r="E99" s="10" t="inlineStr"/>
      <c r="F99" s="10" t="inlineStr">
        <is>
          <t>annuel</t>
        </is>
      </c>
      <c r="G99" s="10" t="inlineStr">
        <is>
          <t>CNIT Forest - Paris La Defense</t>
        </is>
      </c>
      <c r="H99" s="10" t="inlineStr">
        <is>
          <t>Puteaux</t>
        </is>
      </c>
      <c r="I99" s="10" t="inlineStr">
        <is>
          <t>92</t>
        </is>
      </c>
      <c r="J99" s="10" t="inlineStr">
        <is>
          <t>présentiel</t>
        </is>
      </c>
      <c r="K99" s="11" t="inlineStr">
        <is>
          <t>Congres de la filiere gaz et electricite.</t>
        </is>
      </c>
      <c r="L99" s="11" t="inlineStr">
        <is>
          <t>non identifié publiquement</t>
        </is>
      </c>
      <c r="M99" s="10" t="inlineStr">
        <is>
          <t>Energie, gaz, electricite</t>
        </is>
      </c>
      <c r="N99" s="10" t="inlineStr">
        <is>
          <t>non identifié publiquement</t>
        </is>
      </c>
      <c r="O99" s="10" t="inlineStr">
        <is>
          <t>non identifié publiquement</t>
        </is>
      </c>
      <c r="P99" s="10" t="inlineStr"/>
      <c r="Q99" s="11" t="inlineStr"/>
      <c r="R99" s="10" t="inlineStr">
        <is>
          <t>non identifié publiquement</t>
        </is>
      </c>
      <c r="S99" s="10" t="inlineStr">
        <is>
          <t>non</t>
        </is>
      </c>
      <c r="T99" s="11" t="inlineStr"/>
      <c r="U99" s="10" t="inlineStr">
        <is>
          <t>non identifié publiquement</t>
        </is>
      </c>
      <c r="V99" s="10" t="inlineStr">
        <is>
          <t>https://www.viparis.com/actualites-evenements/evenements/congres-gazelec</t>
        </is>
      </c>
      <c r="W99" s="10" t="inlineStr">
        <is>
          <t>2026-09-15</t>
        </is>
      </c>
      <c r="X99" s="11" t="inlineStr">
        <is>
          <t>Identifie via l'agenda du lieu (Viparis). Organisateur et details non identifies publiquement au 15/09/2026.</t>
        </is>
      </c>
      <c r="Y99" s="7" t="inlineStr">
        <is>
          <t>11</t>
        </is>
      </c>
      <c r="Z99" s="7" t="inlineStr">
        <is>
          <t>Énergie / Environnement / Utilities</t>
        </is>
      </c>
      <c r="AA99" s="7" t="inlineStr"/>
      <c r="AB99" s="7" t="inlineStr"/>
      <c r="AC99" s="7" t="inlineStr"/>
      <c r="AD99" s="7" t="inlineStr"/>
      <c r="AE99" s="7" t="inlineStr">
        <is>
          <t>0</t>
        </is>
      </c>
      <c r="AF99" s="7" t="inlineStr">
        <is>
          <t>Générique / Multi-éditeurs / Sans dominante</t>
        </is>
      </c>
      <c r="AG99" s="8" t="inlineStr">
        <is>
          <t>estimé</t>
        </is>
      </c>
      <c r="AH99" s="12" t="inlineStr">
        <is>
          <t>Aucune dimension logicielle dans le positionnement de l'organisateur : rattache au 0 (sans dominante) plutot que laisse vide, conformement a la demande de non-vide</t>
        </is>
      </c>
      <c r="AI99" s="7" t="inlineStr">
        <is>
          <t>5</t>
        </is>
      </c>
      <c r="AJ99" s="7" t="inlineStr">
        <is>
          <t>401-2000</t>
        </is>
      </c>
      <c r="AK99" s="8" t="inlineStr">
        <is>
          <t>estimé</t>
        </is>
      </c>
      <c r="AL99" s="7" t="inlineStr">
        <is>
          <t>estimation : 1000 a 2500 participants</t>
        </is>
      </c>
      <c r="AM99" s="11" t="inlineStr">
        <is>
          <t>Modele de format (congres de societe savante), fourchette 1000-2500, plafonnee par la capacite du lieu (CNIT Forest - Paris La Defense ~ 2500)</t>
        </is>
      </c>
      <c r="AN99" s="7" t="inlineStr">
        <is>
          <t>moyenne</t>
        </is>
      </c>
      <c r="AO99" s="7" t="inlineStr">
        <is>
          <t>1</t>
        </is>
      </c>
      <c r="AP99" s="7" t="inlineStr">
        <is>
          <t>Décideurs PME/ETI</t>
        </is>
      </c>
      <c r="AQ99" s="8" t="inlineStr">
        <is>
          <t>estimé</t>
        </is>
      </c>
      <c r="AR99" s="12" t="inlineStr">
        <is>
          <t>Par defaut, evenement B2B francilien : decideurs PME/ETI</t>
        </is>
      </c>
      <c r="AS99" s="7" t="inlineStr">
        <is>
          <t>2</t>
        </is>
      </c>
      <c r="AT99" s="7" t="inlineStr">
        <is>
          <t>Moyen</t>
        </is>
      </c>
      <c r="AU99" s="8" t="inlineStr">
        <is>
          <t>estimé</t>
        </is>
      </c>
      <c r="AV99" s="12" t="inlineStr">
        <is>
          <t>Par defaut : aucun filtre par un tiers identifie, acces presume en vente libre (niveau 2 conservateur, cf. iteration n1)</t>
        </is>
      </c>
      <c r="AW99" s="7" t="inlineStr">
        <is>
          <t>S:11 L:0 N:5 P:1 A:2</t>
        </is>
      </c>
    </row>
    <row r="100">
      <c r="A100" s="10" t="inlineStr">
        <is>
          <t>Dev With AI Conference</t>
        </is>
      </c>
      <c r="B100" s="10" t="inlineStr">
        <is>
          <t>Dev With AI</t>
        </is>
      </c>
      <c r="C100" s="10" t="inlineStr">
        <is>
          <t>2026-10-12</t>
        </is>
      </c>
      <c r="D100" s="10" t="inlineStr"/>
      <c r="E100" s="10" t="inlineStr"/>
      <c r="F100" s="10" t="inlineStr">
        <is>
          <t>non identifié publiquement</t>
        </is>
      </c>
      <c r="G100" s="10" t="inlineStr">
        <is>
          <t>Forum des Images</t>
        </is>
      </c>
      <c r="H100" s="10" t="inlineStr">
        <is>
          <t>Paris (arrondissement selon le lieu)</t>
        </is>
      </c>
      <c r="I100" s="10" t="inlineStr">
        <is>
          <t>75</t>
        </is>
      </c>
      <c r="J100" s="10" t="inlineStr">
        <is>
          <t>présentiel</t>
        </is>
      </c>
      <c r="K100" s="11" t="inlineStr">
        <is>
          <t>Conférence dédiée aux développeurs avec l'IA. 12 octobre 2026 à Paris. Talks d'experts, retours d'expérience, networking. 400 participants.</t>
        </is>
      </c>
      <c r="L100" s="11" t="inlineStr">
        <is>
          <t>non identifié publiquement</t>
        </is>
      </c>
      <c r="M100" s="10" t="inlineStr">
        <is>
          <t>Numerique, informatique, technologies</t>
        </is>
      </c>
      <c r="N100" s="10" t="inlineStr">
        <is>
          <t xml:space="preserve">Dev With AI Conference - Conférence dédiée aux développeurs avec l'IA. 12 octobre 2026 à Paris. Talks d'experts, retours d'expérience, </t>
        </is>
      </c>
      <c r="O100" s="10" t="inlineStr">
        <is>
          <t>non identifié publiquement</t>
        </is>
      </c>
      <c r="P100" s="10" t="inlineStr">
        <is>
          <t>ESTIME</t>
        </is>
      </c>
      <c r="Q100" s="11" t="inlineStr">
        <is>
          <t>Effectif attendu publie par l'agregateur specialise Agenda Tech pour cette edition</t>
        </is>
      </c>
      <c r="R100" s="10" t="inlineStr">
        <is>
          <t>non identifié publiquement</t>
        </is>
      </c>
      <c r="S100" s="10" t="inlineStr">
        <is>
          <t>non</t>
        </is>
      </c>
      <c r="T100" s="11" t="inlineStr"/>
      <c r="U100" s="10" t="inlineStr">
        <is>
          <t>non identifié publiquement</t>
        </is>
      </c>
      <c r="V100" s="10" t="inlineStr">
        <is>
          <t>https://www.agenda-tech.com/events/dev-with-ai-conference</t>
        </is>
      </c>
      <c r="W100" s="10" t="inlineStr">
        <is>
          <t>2026-09-15</t>
        </is>
      </c>
      <c r="X100" s="11" t="inlineStr">
        <is>
          <t>Identifie via l'agregateur specialise Agenda Tech (donnees structurees schema.org publiees par l'organisateur).</t>
        </is>
      </c>
      <c r="Y100" s="7" t="inlineStr">
        <is>
          <t>16|4</t>
        </is>
      </c>
      <c r="Z100" s="7" t="inlineStr">
        <is>
          <t>IA / Intelligence artificielle + Tech / IT / Logiciels / Télécom</t>
        </is>
      </c>
      <c r="AA100" s="7" t="inlineStr">
        <is>
          <t>11</t>
        </is>
      </c>
      <c r="AB100" s="7" t="inlineStr"/>
      <c r="AC100" s="7" t="inlineStr">
        <is>
          <t>7</t>
        </is>
      </c>
      <c r="AD100" s="7" t="inlineStr"/>
      <c r="AE100" s="7" t="inlineStr">
        <is>
          <t>11</t>
        </is>
      </c>
      <c r="AF100" s="7" t="inlineStr">
        <is>
          <t>IA / Automatisation / No-code / Low-code</t>
        </is>
      </c>
      <c r="AG100" s="7" t="inlineStr">
        <is>
          <t>déduit</t>
        </is>
      </c>
      <c r="AH100" s="12" t="inlineStr">
        <is>
          <t>Deduit du secteur (axe 1)</t>
        </is>
      </c>
      <c r="AI100" s="7" t="inlineStr">
        <is>
          <t>4</t>
        </is>
      </c>
      <c r="AJ100" s="7" t="inlineStr">
        <is>
          <t>121-400</t>
        </is>
      </c>
      <c r="AK100" s="8" t="inlineStr">
        <is>
          <t>estimé</t>
        </is>
      </c>
      <c r="AL100" s="7" t="inlineStr">
        <is>
          <t>environ 400 participants</t>
        </is>
      </c>
      <c r="AM100" s="11" t="inlineStr">
        <is>
          <t>Effectif attendu publie par Agenda Tech (agregateur specialise, chiffre de l'organisateur ou de l'agregateur)</t>
        </is>
      </c>
      <c r="AN100" s="7" t="inlineStr">
        <is>
          <t>moyenne</t>
        </is>
      </c>
      <c r="AO100" s="7" t="inlineStr">
        <is>
          <t>7</t>
        </is>
      </c>
      <c r="AP100" s="7" t="inlineStr">
        <is>
          <t>Experts / Advisors / Associations professionnelles</t>
        </is>
      </c>
      <c r="AQ100" s="7" t="inlineStr">
        <is>
          <t>constaté</t>
        </is>
      </c>
      <c r="AR100" s="12" t="inlineStr"/>
      <c r="AS100" s="7" t="inlineStr">
        <is>
          <t>2</t>
        </is>
      </c>
      <c r="AT100" s="7" t="inlineStr">
        <is>
          <t>Moyen</t>
        </is>
      </c>
      <c r="AU100" s="8" t="inlineStr">
        <is>
          <t>estimé</t>
        </is>
      </c>
      <c r="AV100" s="12" t="inlineStr">
        <is>
          <t>Tarif payant publie par Agenda Tech</t>
        </is>
      </c>
      <c r="AW100" s="7" t="inlineStr">
        <is>
          <t>S:16|4 L:11 N:4 P:7 A:2</t>
        </is>
      </c>
    </row>
    <row r="101">
      <c r="A101" s="10" t="inlineStr">
        <is>
          <t>Dev With AI — Meetup</t>
        </is>
      </c>
      <c r="B101" s="10" t="inlineStr">
        <is>
          <t>Dev With AI</t>
        </is>
      </c>
      <c r="C101" s="10" t="inlineStr">
        <is>
          <t>2026-10-12</t>
        </is>
      </c>
      <c r="D101" s="10" t="inlineStr"/>
      <c r="E101" s="10" t="inlineStr"/>
      <c r="F101" s="10" t="inlineStr">
        <is>
          <t>non identifié publiquement</t>
        </is>
      </c>
      <c r="G101" s="10" t="inlineStr">
        <is>
          <t>Forum des Images, Paris</t>
        </is>
      </c>
      <c r="H101" s="10" t="inlineStr">
        <is>
          <t>Paris (arrondissement selon le lieu)</t>
        </is>
      </c>
      <c r="I101" s="10" t="inlineStr">
        <is>
          <t>75</t>
        </is>
      </c>
      <c r="J101" s="10" t="inlineStr">
        <is>
          <t>présentiel</t>
        </is>
      </c>
      <c r="K101" s="11" t="inlineStr">
        <is>
          <t>Meetup Dev With AI #6 à Paris. Conférences sur les agents IA, CI/CD, et GitLab Duo. Communauté de développeurs à l'ère de l'IA.</t>
        </is>
      </c>
      <c r="L101" s="11" t="inlineStr">
        <is>
          <t>non identifié publiquement</t>
        </is>
      </c>
      <c r="M101" s="10" t="inlineStr">
        <is>
          <t>Numerique, informatique, technologies</t>
        </is>
      </c>
      <c r="N101" s="10" t="inlineStr">
        <is>
          <t>Dev With AI — Meetup - Meetup Dev With AI #6 à Paris. Conférences sur les agents IA, CI/CD, et GitLab Duo. Communauté de développeurs</t>
        </is>
      </c>
      <c r="O101" s="10" t="inlineStr">
        <is>
          <t>non identifié publiquement</t>
        </is>
      </c>
      <c r="P101" s="10" t="inlineStr">
        <is>
          <t>ESTIME</t>
        </is>
      </c>
      <c r="Q101" s="11" t="inlineStr">
        <is>
          <t>Effectif attendu publie par l'agregateur specialise Agenda Tech pour cette edition</t>
        </is>
      </c>
      <c r="R101" s="10" t="inlineStr">
        <is>
          <t>non identifié publiquement</t>
        </is>
      </c>
      <c r="S101" s="10" t="inlineStr">
        <is>
          <t>non</t>
        </is>
      </c>
      <c r="T101" s="11" t="inlineStr"/>
      <c r="U101" s="10" t="inlineStr">
        <is>
          <t>non identifié publiquement</t>
        </is>
      </c>
      <c r="V101" s="10" t="inlineStr">
        <is>
          <t>https://www.agenda-tech.com/events/dev-with-ai-meetup-2026</t>
        </is>
      </c>
      <c r="W101" s="10" t="inlineStr">
        <is>
          <t>2026-09-15</t>
        </is>
      </c>
      <c r="X101" s="11" t="inlineStr">
        <is>
          <t>Identifie via l'agregateur specialise Agenda Tech (donnees structurees schema.org publiees par l'organisateur).</t>
        </is>
      </c>
      <c r="Y101" s="7" t="inlineStr">
        <is>
          <t>16|4</t>
        </is>
      </c>
      <c r="Z101" s="7" t="inlineStr">
        <is>
          <t>IA / Intelligence artificielle + Tech / IT / Logiciels / Télécom</t>
        </is>
      </c>
      <c r="AA101" s="7" t="inlineStr">
        <is>
          <t>11</t>
        </is>
      </c>
      <c r="AB101" s="7" t="inlineStr"/>
      <c r="AC101" s="7" t="inlineStr"/>
      <c r="AD101" s="7" t="inlineStr"/>
      <c r="AE101" s="7" t="inlineStr">
        <is>
          <t>11</t>
        </is>
      </c>
      <c r="AF101" s="7" t="inlineStr">
        <is>
          <t>IA / Automatisation / No-code / Low-code</t>
        </is>
      </c>
      <c r="AG101" s="7" t="inlineStr">
        <is>
          <t>constaté</t>
        </is>
      </c>
      <c r="AH101" s="12" t="inlineStr"/>
      <c r="AI101" s="7" t="inlineStr">
        <is>
          <t>3</t>
        </is>
      </c>
      <c r="AJ101" s="7" t="inlineStr">
        <is>
          <t>41-120</t>
        </is>
      </c>
      <c r="AK101" s="8" t="inlineStr">
        <is>
          <t>estimé</t>
        </is>
      </c>
      <c r="AL101" s="7" t="inlineStr">
        <is>
          <t>environ 102 participants</t>
        </is>
      </c>
      <c r="AM101" s="11" t="inlineStr">
        <is>
          <t>Effectif attendu publie par Agenda Tech (agregateur specialise, chiffre de l'organisateur ou de l'agregateur)</t>
        </is>
      </c>
      <c r="AN101" s="7" t="inlineStr">
        <is>
          <t>moyenne</t>
        </is>
      </c>
      <c r="AO101" s="7" t="inlineStr">
        <is>
          <t>3</t>
        </is>
      </c>
      <c r="AP101" s="7" t="inlineStr">
        <is>
          <t>Opérationnels / Utilisateurs métier</t>
        </is>
      </c>
      <c r="AQ101" s="8" t="inlineStr">
        <is>
          <t>estimé</t>
        </is>
      </c>
      <c r="AR101" s="12" t="inlineStr">
        <is>
          <t>Conference technique IA : profils operationnels et utilisateurs metier</t>
        </is>
      </c>
      <c r="AS101" s="7" t="inlineStr">
        <is>
          <t>1</t>
        </is>
      </c>
      <c r="AT101" s="7" t="inlineStr">
        <is>
          <t>Facile</t>
        </is>
      </c>
      <c r="AU101" s="8" t="inlineStr">
        <is>
          <t>estimé</t>
        </is>
      </c>
      <c r="AV101" s="12" t="inlineStr">
        <is>
          <t>Tarif 'Gratuit' publie par Agenda Tech</t>
        </is>
      </c>
      <c r="AW101" s="7" t="inlineStr">
        <is>
          <t>S:16|4 L:11 N:3 P:3 A:1</t>
        </is>
      </c>
    </row>
    <row r="102">
      <c r="A102" s="10" t="inlineStr">
        <is>
          <t>Mondial de l'Auto Paris 2026</t>
        </is>
      </c>
      <c r="B102" s="10" t="inlineStr">
        <is>
          <t>Hopscotch Groupe / PFA</t>
        </is>
      </c>
      <c r="C102" s="10" t="inlineStr">
        <is>
          <t>2026-10-12</t>
        </is>
      </c>
      <c r="D102" s="10" t="inlineStr">
        <is>
          <t>2026-10-18</t>
        </is>
      </c>
      <c r="E102" s="10" t="inlineStr">
        <is>
          <t>2026-10-12 (journee presse et professionnels)</t>
        </is>
      </c>
      <c r="F102" s="10" t="inlineStr">
        <is>
          <t>biennal (annees paires)</t>
        </is>
      </c>
      <c r="G102" s="10" t="inlineStr">
        <is>
          <t>Paris Expo Porte de Versailles</t>
        </is>
      </c>
      <c r="H102" s="10" t="inlineStr">
        <is>
          <t>Paris 15e</t>
        </is>
      </c>
      <c r="I102" s="10" t="inlineStr">
        <is>
          <t>75</t>
        </is>
      </c>
      <c r="J102" s="10" t="inlineStr">
        <is>
          <t>présentiel</t>
        </is>
      </c>
      <c r="K102" s="11" t="inlineStr">
        <is>
          <t>Salon international de l'automobile. Premiere journee dediee a la presse et aux professionnels, ouverture au grand public a partir du 13 octobre.</t>
        </is>
      </c>
      <c r="L102" s="11" t="inlineStr">
        <is>
          <t>grand public a partir du 13 octobre ; presse et professionnels le 12 octobre (accreditation necessaire)</t>
        </is>
      </c>
      <c r="M102" s="10" t="inlineStr">
        <is>
          <t>Transports, logistique, circulation et leurs équipements</t>
        </is>
      </c>
      <c r="N102" s="10" t="inlineStr">
        <is>
          <t>non identifié publiquement</t>
        </is>
      </c>
      <c r="O102" s="10" t="inlineStr">
        <is>
          <t>non identifié publiquement</t>
        </is>
      </c>
      <c r="P102" s="10" t="inlineStr"/>
      <c r="Q102" s="11" t="inlineStr"/>
      <c r="R102" s="10" t="inlineStr">
        <is>
          <t>billet payant</t>
        </is>
      </c>
      <c r="S102" s="10" t="inlineStr">
        <is>
          <t>oui</t>
        </is>
      </c>
      <c r="T102" s="11" t="inlineStr">
        <is>
          <t>Journee du 12 octobre reservee a la presse et aux professionnels sur accreditation</t>
        </is>
      </c>
      <c r="U102" s="10" t="inlineStr">
        <is>
          <t>non identifié publiquement</t>
        </is>
      </c>
      <c r="V102" s="10" t="inlineStr">
        <is>
          <t>https://www.cci-paris-idf.fr/fr/evenements-salons/salons-foires-paris-ile-de-france/mondial-de-lauto-paris</t>
        </is>
      </c>
      <c r="W102" s="10" t="inlineStr">
        <is>
          <t>2026-09-15</t>
        </is>
      </c>
      <c r="X102" s="11" t="inlineStr">
        <is>
          <t>Conserve au titre de la journee professionnelle distincte du 12 octobre 2026 ; les journees du 13 au 18 octobre sont grand public.</t>
        </is>
      </c>
      <c r="Y102" s="7" t="inlineStr">
        <is>
          <t>10</t>
        </is>
      </c>
      <c r="Z102" s="7" t="inlineStr">
        <is>
          <t>Transport / Logistique / Supply Chain</t>
        </is>
      </c>
      <c r="AA102" s="7" t="inlineStr"/>
      <c r="AB102" s="7" t="inlineStr"/>
      <c r="AC102" s="7" t="inlineStr">
        <is>
          <t>8</t>
        </is>
      </c>
      <c r="AD102" s="7" t="inlineStr">
        <is>
          <t>3</t>
        </is>
      </c>
      <c r="AE102" s="7" t="inlineStr">
        <is>
          <t>0</t>
        </is>
      </c>
      <c r="AF102" s="7" t="inlineStr">
        <is>
          <t>Générique / Multi-éditeurs / Sans dominante</t>
        </is>
      </c>
      <c r="AG102" s="8" t="inlineStr">
        <is>
          <t>estimé</t>
        </is>
      </c>
      <c r="AH102" s="12" t="inlineStr">
        <is>
          <t>Aucune dimension logicielle dans le positionnement de l'organisateur : rattache au 0 (sans dominante) plutot que laisse vide, conformement a la demande de non-vide</t>
        </is>
      </c>
      <c r="AI102" s="7" t="inlineStr">
        <is>
          <t>4</t>
        </is>
      </c>
      <c r="AJ102" s="7" t="inlineStr">
        <is>
          <t>121-400</t>
        </is>
      </c>
      <c r="AK102" s="8" t="inlineStr">
        <is>
          <t>estimé</t>
        </is>
      </c>
      <c r="AL102" s="7" t="inlineStr">
        <is>
          <t>estimation : 150 a 600 participants</t>
        </is>
      </c>
      <c r="AM102" s="11" t="inlineStr">
        <is>
          <t>Modele de format (colloque ou journee thematique), fourchette 150-600, plafonnee par la capacite du lieu (Paris Expo Porte de Versailles ~ 200000)</t>
        </is>
      </c>
      <c r="AN102" s="7" t="inlineStr">
        <is>
          <t>moyenne</t>
        </is>
      </c>
      <c r="AO102" s="7" t="inlineStr">
        <is>
          <t>8</t>
        </is>
      </c>
      <c r="AP102" s="7" t="inlineStr">
        <is>
          <t>Journalistes / Médias</t>
        </is>
      </c>
      <c r="AQ102" s="7" t="inlineStr">
        <is>
          <t>constaté</t>
        </is>
      </c>
      <c r="AR102" s="12" t="inlineStr"/>
      <c r="AS102" s="7" t="inlineStr">
        <is>
          <t>3</t>
        </is>
      </c>
      <c r="AT102" s="7" t="inlineStr">
        <is>
          <t>Difficile</t>
        </is>
      </c>
      <c r="AU102" s="7" t="inlineStr">
        <is>
          <t>constaté</t>
        </is>
      </c>
      <c r="AV102" s="12" t="inlineStr"/>
      <c r="AW102" s="7" t="inlineStr">
        <is>
          <t>S:10 L:0 N:4 P:8 A:3</t>
        </is>
      </c>
    </row>
    <row r="103">
      <c r="A103" s="10" t="inlineStr">
        <is>
          <t>Data Excellence Sprint 2026</t>
        </is>
      </c>
      <c r="B103" s="10" t="inlineStr">
        <is>
          <t>Alliancy</t>
        </is>
      </c>
      <c r="C103" s="10" t="inlineStr">
        <is>
          <t>2026-10-13</t>
        </is>
      </c>
      <c r="D103" s="10" t="inlineStr"/>
      <c r="E103" s="10" t="inlineStr"/>
      <c r="F103" s="10" t="inlineStr">
        <is>
          <t>non identifié publiquement</t>
        </is>
      </c>
      <c r="G103" s="10" t="inlineStr">
        <is>
          <t>non identifié publiquement</t>
        </is>
      </c>
      <c r="H103" s="10" t="inlineStr">
        <is>
          <t>Paris (arrondissement non communique)</t>
        </is>
      </c>
      <c r="I103" s="10" t="inlineStr">
        <is>
          <t>75</t>
        </is>
      </c>
      <c r="J103" s="10" t="inlineStr">
        <is>
          <t>présentiel</t>
        </is>
      </c>
      <c r="K103" s="11" t="inlineStr">
        <is>
          <t>Soirée exclusive CDO à Paris le 13 octobre 2026. 2 ateliers avec 4 experts pour redéfinir le leadership data et la stratégie IA en entreprise.</t>
        </is>
      </c>
      <c r="L103" s="11" t="inlineStr">
        <is>
          <t>non identifié publiquement</t>
        </is>
      </c>
      <c r="M103" s="10" t="inlineStr">
        <is>
          <t>Numerique, informatique, technologies</t>
        </is>
      </c>
      <c r="N103" s="10" t="inlineStr">
        <is>
          <t>Data Excellence Sprint 2026 - Soirée exclusive CDO à Paris le 13 octobre 2026. 2 ateliers avec 4 experts pour redéfinir le leadership data e</t>
        </is>
      </c>
      <c r="O103" s="10" t="inlineStr">
        <is>
          <t>non identifié publiquement</t>
        </is>
      </c>
      <c r="P103" s="10" t="inlineStr">
        <is>
          <t>ESTIME</t>
        </is>
      </c>
      <c r="Q103" s="11" t="inlineStr">
        <is>
          <t>Effectif attendu publie par l'agregateur specialise Agenda Tech pour cette edition</t>
        </is>
      </c>
      <c r="R103" s="10" t="inlineStr">
        <is>
          <t>non identifié publiquement</t>
        </is>
      </c>
      <c r="S103" s="10" t="inlineStr">
        <is>
          <t>non</t>
        </is>
      </c>
      <c r="T103" s="11" t="inlineStr"/>
      <c r="U103" s="10" t="inlineStr">
        <is>
          <t>non identifié publiquement</t>
        </is>
      </c>
      <c r="V103" s="10" t="inlineStr">
        <is>
          <t>https://www.agenda-tech.com/events/data-excellence-sprint-paris-2026</t>
        </is>
      </c>
      <c r="W103" s="10" t="inlineStr">
        <is>
          <t>2026-09-15</t>
        </is>
      </c>
      <c r="X103" s="11" t="inlineStr">
        <is>
          <t>Identifie via l'agregateur specialise Agenda Tech (donnees structurees schema.org publiees par l'organisateur).</t>
        </is>
      </c>
      <c r="Y103" s="7" t="inlineStr">
        <is>
          <t>4</t>
        </is>
      </c>
      <c r="Z103" s="7" t="inlineStr">
        <is>
          <t>Tech / IT / Logiciels / Télécom</t>
        </is>
      </c>
      <c r="AA103" s="7" t="inlineStr">
        <is>
          <t>9</t>
        </is>
      </c>
      <c r="AB103" s="7" t="inlineStr"/>
      <c r="AC103" s="7" t="inlineStr">
        <is>
          <t>1|7</t>
        </is>
      </c>
      <c r="AD103" s="7" t="inlineStr"/>
      <c r="AE103" s="7" t="inlineStr">
        <is>
          <t>9</t>
        </is>
      </c>
      <c r="AF103" s="7" t="inlineStr">
        <is>
          <t>Data / BI / Analytics</t>
        </is>
      </c>
      <c r="AG103" s="7" t="inlineStr">
        <is>
          <t>constaté</t>
        </is>
      </c>
      <c r="AH103" s="12" t="inlineStr"/>
      <c r="AI103" s="7" t="inlineStr">
        <is>
          <t>2</t>
        </is>
      </c>
      <c r="AJ103" s="7" t="inlineStr">
        <is>
          <t>16-40</t>
        </is>
      </c>
      <c r="AK103" s="8" t="inlineStr">
        <is>
          <t>estimé</t>
        </is>
      </c>
      <c r="AL103" s="7" t="inlineStr">
        <is>
          <t>environ 40 participants</t>
        </is>
      </c>
      <c r="AM103" s="11" t="inlineStr">
        <is>
          <t>Effectif attendu publie par Agenda Tech (agregateur specialise, chiffre de l'organisateur ou de l'agregateur)</t>
        </is>
      </c>
      <c r="AN103" s="7" t="inlineStr">
        <is>
          <t>moyenne</t>
        </is>
      </c>
      <c r="AO103" s="7" t="inlineStr">
        <is>
          <t>1|7</t>
        </is>
      </c>
      <c r="AP103" s="7" t="inlineStr">
        <is>
          <t>Décideurs PME/ETI + Experts / Advisors / Associations professionnelles</t>
        </is>
      </c>
      <c r="AQ103" s="7" t="inlineStr">
        <is>
          <t>constaté</t>
        </is>
      </c>
      <c r="AR103" s="12" t="inlineStr"/>
      <c r="AS103" s="7" t="inlineStr">
        <is>
          <t>3</t>
        </is>
      </c>
      <c r="AT103" s="7" t="inlineStr">
        <is>
          <t>Difficile</t>
        </is>
      </c>
      <c r="AU103" s="8" t="inlineStr">
        <is>
          <t>estimé</t>
        </is>
      </c>
      <c r="AV103" s="12" t="inlineStr">
        <is>
          <t>Tarif 'Sur invitation' publie par Agenda Tech</t>
        </is>
      </c>
      <c r="AW103" s="7" t="inlineStr">
        <is>
          <t>S:4 L:9 N:2 P:1|7 A:3</t>
        </is>
      </c>
    </row>
    <row r="104">
      <c r="A104" s="10" t="inlineStr">
        <is>
          <t>Eluceo</t>
        </is>
      </c>
      <c r="B104" s="10" t="inlineStr">
        <is>
          <t>GAMEXPO</t>
        </is>
      </c>
      <c r="C104" s="10" t="inlineStr">
        <is>
          <t>2026-10-13</t>
        </is>
      </c>
      <c r="D104" s="10" t="inlineStr">
        <is>
          <t>2026-10-14</t>
        </is>
      </c>
      <c r="E104" s="10" t="inlineStr"/>
      <c r="F104" s="10" t="inlineStr">
        <is>
          <t>non identifié publiquement</t>
        </is>
      </c>
      <c r="G104" s="10" t="inlineStr">
        <is>
          <t>Stade de France</t>
        </is>
      </c>
      <c r="H104" s="10" t="inlineStr">
        <is>
          <t>Saint-Denis</t>
        </is>
      </c>
      <c r="I104" s="10" t="inlineStr">
        <is>
          <t>93</t>
        </is>
      </c>
      <c r="J104" s="10" t="inlineStr">
        <is>
          <t>présentiel</t>
        </is>
      </c>
      <c r="K104" s="11" t="inlineStr">
        <is>
          <t>Eluceo 13 octobre 2026 à Paris. Conférence B2B sur l'optimisation opérationnelle et la transformation digitale pour DSI et décideurs IT.</t>
        </is>
      </c>
      <c r="L104" s="11" t="inlineStr">
        <is>
          <t>non identifié publiquement</t>
        </is>
      </c>
      <c r="M104" s="10" t="inlineStr">
        <is>
          <t>Numerique, informatique, technologies</t>
        </is>
      </c>
      <c r="N104" s="10" t="inlineStr">
        <is>
          <t>non identifié publiquement</t>
        </is>
      </c>
      <c r="O104" s="10" t="inlineStr">
        <is>
          <t>non identifié publiquement</t>
        </is>
      </c>
      <c r="P104" s="10" t="inlineStr">
        <is>
          <t>ESTIME</t>
        </is>
      </c>
      <c r="Q104" s="11" t="inlineStr">
        <is>
          <t>Effectif attendu publie par l'agregateur specialise Agenda Tech pour cette edition</t>
        </is>
      </c>
      <c r="R104" s="10" t="inlineStr">
        <is>
          <t>non identifié publiquement</t>
        </is>
      </c>
      <c r="S104" s="10" t="inlineStr">
        <is>
          <t>non</t>
        </is>
      </c>
      <c r="T104" s="11" t="inlineStr"/>
      <c r="U104" s="10" t="inlineStr">
        <is>
          <t>non identifié publiquement</t>
        </is>
      </c>
      <c r="V104" s="10" t="inlineStr">
        <is>
          <t>https://www.agenda-tech.com/events/eluceo-2026</t>
        </is>
      </c>
      <c r="W104" s="10" t="inlineStr">
        <is>
          <t>2026-09-15</t>
        </is>
      </c>
      <c r="X104" s="11" t="inlineStr">
        <is>
          <t>Identifie via l'agregateur specialise Agenda Tech (donnees structurees schema.org publiees par l'organisateur).</t>
        </is>
      </c>
      <c r="Y104" s="7" t="inlineStr">
        <is>
          <t>4</t>
        </is>
      </c>
      <c r="Z104" s="7" t="inlineStr">
        <is>
          <t>Tech / IT / Logiciels / Télécom</t>
        </is>
      </c>
      <c r="AA104" s="7" t="inlineStr">
        <is>
          <t>0</t>
        </is>
      </c>
      <c r="AB104" s="7" t="inlineStr"/>
      <c r="AC104" s="7" t="inlineStr">
        <is>
          <t>3|1</t>
        </is>
      </c>
      <c r="AD104" s="7" t="inlineStr"/>
      <c r="AE104" s="7" t="inlineStr">
        <is>
          <t>0</t>
        </is>
      </c>
      <c r="AF104" s="7" t="inlineStr">
        <is>
          <t>Générique / Multi-éditeurs / Sans dominante</t>
        </is>
      </c>
      <c r="AG104" s="7" t="inlineStr">
        <is>
          <t>déduit</t>
        </is>
      </c>
      <c r="AH104" s="12" t="inlineStr">
        <is>
          <t>Deduit du secteur (axe 1)</t>
        </is>
      </c>
      <c r="AI104" s="7" t="inlineStr">
        <is>
          <t>6</t>
        </is>
      </c>
      <c r="AJ104" s="7" t="inlineStr">
        <is>
          <t>&gt;2000</t>
        </is>
      </c>
      <c r="AK104" s="8" t="inlineStr">
        <is>
          <t>estimé</t>
        </is>
      </c>
      <c r="AL104" s="7" t="inlineStr">
        <is>
          <t>environ 14000 participants</t>
        </is>
      </c>
      <c r="AM104" s="11" t="inlineStr">
        <is>
          <t>Effectif attendu publie par Agenda Tech (agregateur specialise, chiffre de l'organisateur ou de l'agregateur)</t>
        </is>
      </c>
      <c r="AN104" s="7" t="inlineStr">
        <is>
          <t>moyenne</t>
        </is>
      </c>
      <c r="AO104" s="7" t="inlineStr">
        <is>
          <t>3|1</t>
        </is>
      </c>
      <c r="AP104" s="7" t="inlineStr">
        <is>
          <t>Opérationnels / Utilisateurs métier + Décideurs PME/ETI</t>
        </is>
      </c>
      <c r="AQ104" s="7" t="inlineStr">
        <is>
          <t>constaté</t>
        </is>
      </c>
      <c r="AR104" s="12" t="inlineStr"/>
      <c r="AS104" s="7" t="inlineStr">
        <is>
          <t>2</t>
        </is>
      </c>
      <c r="AT104" s="7" t="inlineStr">
        <is>
          <t>Moyen</t>
        </is>
      </c>
      <c r="AU104" s="8" t="inlineStr">
        <is>
          <t>estimé</t>
        </is>
      </c>
      <c r="AV104" s="12" t="inlineStr">
        <is>
          <t>Billetterie en vente libre (mention 'Voir tarifs sur le site' chez Agenda Tech), sans gratuite confirmee</t>
        </is>
      </c>
      <c r="AW104" s="7" t="inlineStr">
        <is>
          <t>S:4 L:0 N:6 P:3|1 A:2</t>
        </is>
      </c>
    </row>
    <row r="105">
      <c r="A105" s="10" t="inlineStr">
        <is>
          <t>La Cyber dans le Spatial #2 - Cyber &amp; Defense</t>
        </is>
      </c>
      <c r="B105" s="10" t="inlineStr">
        <is>
          <t>Pole Systematic Paris-Region (programme Defense)</t>
        </is>
      </c>
      <c r="C105" s="10" t="inlineStr">
        <is>
          <t>2026-10-13</t>
        </is>
      </c>
      <c r="D105" s="10" t="inlineStr"/>
      <c r="E105" s="10" t="inlineStr"/>
      <c r="F105" s="10" t="inlineStr">
        <is>
          <t>non identifié publiquement</t>
        </is>
      </c>
      <c r="G105" s="10" t="inlineStr">
        <is>
          <t>ECE - Engineering School, 10 rue Sextius Michel</t>
        </is>
      </c>
      <c r="H105" s="10" t="inlineStr">
        <is>
          <t>Paris 15e</t>
        </is>
      </c>
      <c r="I105" s="10" t="inlineStr">
        <is>
          <t>75</t>
        </is>
      </c>
      <c r="J105" s="10" t="inlineStr">
        <is>
          <t>présentiel</t>
        </is>
      </c>
      <c r="K105" s="11" t="inlineStr">
        <is>
          <t>Deuxieme rendez-vous du programme Defense de Systematic consacre a la cybersecurite du secteur spatial.</t>
        </is>
      </c>
      <c r="L105" s="11" t="inlineStr">
        <is>
          <t>non identifié publiquement</t>
        </is>
      </c>
      <c r="M105" s="10" t="inlineStr">
        <is>
          <t>Cybersecurite, spatial, defense</t>
        </is>
      </c>
      <c r="N105" s="10" t="inlineStr">
        <is>
          <t>Cybersecurite appliquee au spatial</t>
        </is>
      </c>
      <c r="O105" s="10" t="inlineStr">
        <is>
          <t>non identifié publiquement</t>
        </is>
      </c>
      <c r="P105" s="10" t="inlineStr"/>
      <c r="Q105" s="11" t="inlineStr"/>
      <c r="R105" s="10" t="inlineStr">
        <is>
          <t>inscription libre</t>
        </is>
      </c>
      <c r="S105" s="10" t="inlineStr">
        <is>
          <t>oui</t>
        </is>
      </c>
      <c r="T105" s="11" t="inlineStr">
        <is>
          <t>Tarif preferentiel reserve aux membres du pole Systematic</t>
        </is>
      </c>
      <c r="U105" s="10" t="inlineStr">
        <is>
          <t>gratuit pour les membres de Systematic ; 89 EUR HT pour les non-membres</t>
        </is>
      </c>
      <c r="V105" s="10" t="inlineStr">
        <is>
          <t>https://systematic-paris-region.org/evenement/la-cyber-dans-le-spatial-2-rendez-vous-du-programme-defense/</t>
        </is>
      </c>
      <c r="W105" s="10" t="inlineStr">
        <is>
          <t>2026-09-15</t>
        </is>
      </c>
      <c r="X105" s="11" t="inlineStr"/>
      <c r="Y105" s="7" t="inlineStr">
        <is>
          <t>3|4</t>
        </is>
      </c>
      <c r="Z105" s="7" t="inlineStr">
        <is>
          <t>Industrie / Manufacturing / Automobile / Aéronautique + Tech / IT / Logiciels / Télécom</t>
        </is>
      </c>
      <c r="AA105" s="7" t="inlineStr">
        <is>
          <t>10</t>
        </is>
      </c>
      <c r="AB105" s="7" t="inlineStr"/>
      <c r="AC105" s="7" t="inlineStr"/>
      <c r="AD105" s="7" t="inlineStr">
        <is>
          <t>2</t>
        </is>
      </c>
      <c r="AE105" s="7" t="inlineStr">
        <is>
          <t>10</t>
        </is>
      </c>
      <c r="AF105" s="7" t="inlineStr">
        <is>
          <t>Cybersécurité</t>
        </is>
      </c>
      <c r="AG105" s="7" t="inlineStr">
        <is>
          <t>constaté</t>
        </is>
      </c>
      <c r="AH105" s="12" t="inlineStr"/>
      <c r="AI105" s="7" t="inlineStr">
        <is>
          <t>3</t>
        </is>
      </c>
      <c r="AJ105" s="7" t="inlineStr">
        <is>
          <t>41-120</t>
        </is>
      </c>
      <c r="AK105" s="8" t="inlineStr">
        <is>
          <t>estimé</t>
        </is>
      </c>
      <c r="AL105" s="7" t="inlineStr">
        <is>
          <t>estimation : 50 a 250 participants</t>
        </is>
      </c>
      <c r="AM105" s="11" t="inlineStr">
        <is>
          <t>Modele de format (rendez-vous de pole de competitivite ou de cluster), fourchette 50-250, plafonnee par la capacite du lieu (ECE - Engineering School, 10 rue Sextius ~ 800)</t>
        </is>
      </c>
      <c r="AN105" s="7" t="inlineStr">
        <is>
          <t>moyenne</t>
        </is>
      </c>
      <c r="AO105" s="7" t="inlineStr">
        <is>
          <t>1</t>
        </is>
      </c>
      <c r="AP105" s="7" t="inlineStr">
        <is>
          <t>Décideurs PME/ETI</t>
        </is>
      </c>
      <c r="AQ105" s="8" t="inlineStr">
        <is>
          <t>estimé</t>
        </is>
      </c>
      <c r="AR105" s="12" t="inlineStr">
        <is>
          <t>Par defaut, evenement B2B francilien : decideurs PME/ETI</t>
        </is>
      </c>
      <c r="AS105" s="7" t="inlineStr">
        <is>
          <t>2</t>
        </is>
      </c>
      <c r="AT105" s="7" t="inlineStr">
        <is>
          <t>Moyen</t>
        </is>
      </c>
      <c r="AU105" s="7" t="inlineStr">
        <is>
          <t>constaté</t>
        </is>
      </c>
      <c r="AV105" s="12" t="inlineStr"/>
      <c r="AW105" s="7" t="inlineStr">
        <is>
          <t>S:3|4 L:10 N:3 P:1 A:2</t>
        </is>
      </c>
    </row>
    <row r="106">
      <c r="A106" s="10" t="inlineStr">
        <is>
          <t>Masterclass IA - IA &amp; Performance : passez a l'action en 1 jour</t>
        </is>
      </c>
      <c r="B106" s="10" t="inlineStr">
        <is>
          <t>CCI Paris Ile-de-France</t>
        </is>
      </c>
      <c r="C106" s="10" t="inlineStr">
        <is>
          <t>2026-10-13</t>
        </is>
      </c>
      <c r="D106" s="10" t="inlineStr"/>
      <c r="E106" s="10" t="inlineStr"/>
      <c r="F106" s="10" t="inlineStr">
        <is>
          <t>non identifié publiquement</t>
        </is>
      </c>
      <c r="G106" s="10" t="inlineStr">
        <is>
          <t>CCI Val-d'Oise, 35 boulevard du Port</t>
        </is>
      </c>
      <c r="H106" s="10" t="inlineStr">
        <is>
          <t>Cergy</t>
        </is>
      </c>
      <c r="I106" s="10" t="inlineStr">
        <is>
          <t>95</t>
        </is>
      </c>
      <c r="J106" s="10" t="inlineStr">
        <is>
          <t>présentiel</t>
        </is>
      </c>
      <c r="K106" s="11" t="inlineStr">
        <is>
          <t>Masterclass d'une journee pour passer a l'action sur l'IA en entreprise.</t>
        </is>
      </c>
      <c r="L106" s="11" t="inlineStr">
        <is>
          <t>non identifié publiquement</t>
        </is>
      </c>
      <c r="M106" s="10" t="inlineStr">
        <is>
          <t>Tous secteurs</t>
        </is>
      </c>
      <c r="N106" s="10" t="inlineStr">
        <is>
          <t>Intelligence artificielle generative, agents IA, automatisation</t>
        </is>
      </c>
      <c r="O106" s="10" t="inlineStr">
        <is>
          <t>non identifié publiquement</t>
        </is>
      </c>
      <c r="P106" s="10" t="inlineStr"/>
      <c r="Q106" s="11" t="inlineStr"/>
      <c r="R106" s="10" t="inlineStr">
        <is>
          <t>inscription libre</t>
        </is>
      </c>
      <c r="S106" s="10" t="inlineStr">
        <is>
          <t>non</t>
        </is>
      </c>
      <c r="T106" s="11" t="inlineStr"/>
      <c r="U106" s="10" t="inlineStr">
        <is>
          <t>450 EUR HT</t>
        </is>
      </c>
      <c r="V106" s="10" t="inlineStr">
        <is>
          <t>https://www.entreprises.cci-paris-idf.fr/evenements/masterclass-ia-ia-performance-passez-laction-en-1-jour</t>
        </is>
      </c>
      <c r="W106" s="10" t="inlineStr">
        <is>
          <t>2026-09-15</t>
        </is>
      </c>
      <c r="X106" s="11" t="inlineStr">
        <is>
          <t>ATELIER IA : concurrence directe ou partenariat possible pour une offre de conseil IA aupres des PME. La CCI Paris IDF a industrialise une offre IA pour TPE-PME sur la periode.</t>
        </is>
      </c>
      <c r="Y106" s="7" t="inlineStr">
        <is>
          <t>16</t>
        </is>
      </c>
      <c r="Z106" s="7" t="inlineStr">
        <is>
          <t>IA / Intelligence artificielle</t>
        </is>
      </c>
      <c r="AA106" s="7" t="inlineStr">
        <is>
          <t>11</t>
        </is>
      </c>
      <c r="AB106" s="7" t="inlineStr"/>
      <c r="AC106" s="7" t="inlineStr"/>
      <c r="AD106" s="7" t="inlineStr">
        <is>
          <t>2</t>
        </is>
      </c>
      <c r="AE106" s="7" t="inlineStr">
        <is>
          <t>11</t>
        </is>
      </c>
      <c r="AF106" s="7" t="inlineStr">
        <is>
          <t>IA / Automatisation / No-code / Low-code</t>
        </is>
      </c>
      <c r="AG106" s="7" t="inlineStr">
        <is>
          <t>constaté</t>
        </is>
      </c>
      <c r="AH106" s="12" t="inlineStr"/>
      <c r="AI106" s="7" t="inlineStr">
        <is>
          <t>2</t>
        </is>
      </c>
      <c r="AJ106" s="7" t="inlineStr">
        <is>
          <t>16-40</t>
        </is>
      </c>
      <c r="AK106" s="8" t="inlineStr">
        <is>
          <t>estimé</t>
        </is>
      </c>
      <c r="AL106" s="7" t="inlineStr">
        <is>
          <t>estimation : 10 a 30 participants</t>
        </is>
      </c>
      <c r="AM106" s="11" t="inlineStr">
        <is>
          <t>Modele de format (atelier ou formation en chambre de commerce), fourchette 10-30, plafonnee par la capacite du lieu (CCI Val-d'Oise, 35 boulevard du Port ~ 120)</t>
        </is>
      </c>
      <c r="AN106" s="7" t="inlineStr">
        <is>
          <t>moyenne</t>
        </is>
      </c>
      <c r="AO106" s="7" t="inlineStr">
        <is>
          <t>1</t>
        </is>
      </c>
      <c r="AP106" s="7" t="inlineStr">
        <is>
          <t>Décideurs PME/ETI</t>
        </is>
      </c>
      <c r="AQ106" s="8" t="inlineStr">
        <is>
          <t>estimé</t>
        </is>
      </c>
      <c r="AR106" s="12" t="inlineStr">
        <is>
          <t>Organisateur CCI : public cible structurel de dirigeants et collaborateurs de TPE-PME</t>
        </is>
      </c>
      <c r="AS106" s="7" t="inlineStr">
        <is>
          <t>2</t>
        </is>
      </c>
      <c r="AT106" s="7" t="inlineStr">
        <is>
          <t>Moyen</t>
        </is>
      </c>
      <c r="AU106" s="7" t="inlineStr">
        <is>
          <t>constaté</t>
        </is>
      </c>
      <c r="AV106" s="12" t="inlineStr"/>
      <c r="AW106" s="7" t="inlineStr">
        <is>
          <t>S:16 L:11 N:2 P:1 A:2</t>
        </is>
      </c>
    </row>
    <row r="107">
      <c r="A107" s="10" t="inlineStr">
        <is>
          <t>Paris Automotive Summit 2026 (3e edition)</t>
        </is>
      </c>
      <c r="B107" s="10" t="inlineStr">
        <is>
          <t>Plateforme Automobile (PFA), membre de France Industrie</t>
        </is>
      </c>
      <c r="C107" s="10" t="inlineStr">
        <is>
          <t>2026-10-13</t>
        </is>
      </c>
      <c r="D107" s="10" t="inlineStr"/>
      <c r="E107" s="10" t="inlineStr"/>
      <c r="F107" s="10" t="inlineStr">
        <is>
          <t>annuel</t>
        </is>
      </c>
      <c r="G107" s="10" t="inlineStr">
        <is>
          <t>Dome de Paris - Palais des Sports</t>
        </is>
      </c>
      <c r="H107" s="10" t="inlineStr">
        <is>
          <t>Paris 15e</t>
        </is>
      </c>
      <c r="I107" s="10" t="inlineStr">
        <is>
          <t>75</t>
        </is>
      </c>
      <c r="J107" s="10" t="inlineStr">
        <is>
          <t>présentiel</t>
        </is>
      </c>
      <c r="K107" s="11" t="inlineStr">
        <is>
          <t>Sommet donnant la parole aux dirigeants mondiaux du secteur automobile, acteurs innovants et leaders publics sur les defis d'avenir de l'industrie automobile.</t>
        </is>
      </c>
      <c r="L107" s="11" t="inlineStr">
        <is>
          <t>dirigeants mondiaux du secteur automobile, acteurs innovants et leaders publics</t>
        </is>
      </c>
      <c r="M107" s="10" t="inlineStr">
        <is>
          <t>Automobile, industrie, mobilite</t>
        </is>
      </c>
      <c r="N107" s="10" t="inlineStr">
        <is>
          <t>non identifié publiquement</t>
        </is>
      </c>
      <c r="O107" s="10" t="inlineStr">
        <is>
          <t>non identifié publiquement</t>
        </is>
      </c>
      <c r="P107" s="10" t="inlineStr"/>
      <c r="Q107" s="11" t="inlineStr"/>
      <c r="R107" s="10" t="inlineStr">
        <is>
          <t>invitation</t>
        </is>
      </c>
      <c r="S107" s="10" t="inlineStr">
        <is>
          <t>oui</t>
        </is>
      </c>
      <c r="T107" s="11" t="inlineStr">
        <is>
          <t>Sommet de dirigeants, acces oriente invitation</t>
        </is>
      </c>
      <c r="U107" s="10" t="inlineStr">
        <is>
          <t>non identifié publiquement</t>
        </is>
      </c>
      <c r="V107" s="10" t="inlineStr">
        <is>
          <t>https://www.franceindustrie.org/agenda/evenement-edition-2026-du-paris-automotive-summit/</t>
        </is>
      </c>
      <c r="W107" s="10" t="inlineStr">
        <is>
          <t>2026-09-15</t>
        </is>
      </c>
      <c r="X107" s="11" t="inlineStr">
        <is>
          <t>Se tient de 9h a 13h au coeur du Mondial de l'Auto (12-18 octobre 2026). Intervenants annonces : Antonio Filosa (CEO Stellantis), Christophe Perillat (CEO Valeo), Francois Provost (CEO Renault Group). Tres forte densite de donneurs d'ordres de la filiere automobile, dont de nombreuses ETI sous-traitantes.</t>
        </is>
      </c>
      <c r="Y107" s="7" t="inlineStr">
        <is>
          <t>3</t>
        </is>
      </c>
      <c r="Z107" s="7" t="inlineStr">
        <is>
          <t>Industrie / Manufacturing / Automobile / Aéronautique</t>
        </is>
      </c>
      <c r="AA107" s="7" t="inlineStr"/>
      <c r="AB107" s="7" t="inlineStr"/>
      <c r="AC107" s="7" t="inlineStr">
        <is>
          <t>1</t>
        </is>
      </c>
      <c r="AD107" s="7" t="inlineStr">
        <is>
          <t>3</t>
        </is>
      </c>
      <c r="AE107" s="7" t="inlineStr">
        <is>
          <t>0</t>
        </is>
      </c>
      <c r="AF107" s="7" t="inlineStr">
        <is>
          <t>Générique / Multi-éditeurs / Sans dominante</t>
        </is>
      </c>
      <c r="AG107" s="8" t="inlineStr">
        <is>
          <t>estimé</t>
        </is>
      </c>
      <c r="AH107" s="12" t="inlineStr">
        <is>
          <t>Aucune dimension logicielle dans le positionnement de l'organisateur : rattache au 0 (sans dominante) plutot que laisse vide, conformement a la demande de non-vide</t>
        </is>
      </c>
      <c r="AI107" s="7" t="inlineStr">
        <is>
          <t>4</t>
        </is>
      </c>
      <c r="AJ107" s="7" t="inlineStr">
        <is>
          <t>121-400</t>
        </is>
      </c>
      <c r="AK107" s="8" t="inlineStr">
        <is>
          <t>estimé</t>
        </is>
      </c>
      <c r="AL107" s="7" t="inlineStr">
        <is>
          <t>estimation : 150 a 500 participants</t>
        </is>
      </c>
      <c r="AM107" s="11" t="inlineStr">
        <is>
          <t>Modele de format (sommet de dirigeants sur invitation), fourchette 150-500, plafonnee par la capacite du lieu (Dome de Paris - Palais des Sports ~ 4200)</t>
        </is>
      </c>
      <c r="AN107" s="7" t="inlineStr">
        <is>
          <t>moyenne</t>
        </is>
      </c>
      <c r="AO107" s="7" t="inlineStr">
        <is>
          <t>1</t>
        </is>
      </c>
      <c r="AP107" s="7" t="inlineStr">
        <is>
          <t>Décideurs PME/ETI</t>
        </is>
      </c>
      <c r="AQ107" s="7" t="inlineStr">
        <is>
          <t>constaté</t>
        </is>
      </c>
      <c r="AR107" s="12" t="inlineStr"/>
      <c r="AS107" s="7" t="inlineStr">
        <is>
          <t>3</t>
        </is>
      </c>
      <c r="AT107" s="7" t="inlineStr">
        <is>
          <t>Difficile</t>
        </is>
      </c>
      <c r="AU107" s="7" t="inlineStr">
        <is>
          <t>constaté</t>
        </is>
      </c>
      <c r="AV107" s="12" t="inlineStr"/>
      <c r="AW107" s="7" t="inlineStr">
        <is>
          <t>S:3 L:0 N:4 P:1 A:3</t>
        </is>
      </c>
    </row>
    <row r="108">
      <c r="A108" s="10" t="inlineStr">
        <is>
          <t>Prix EY de l'Entrepreneur de l'Annee 2026 - ceremonie nationale (34e edition)</t>
        </is>
      </c>
      <c r="B108" s="10" t="inlineStr">
        <is>
          <t>EY France</t>
        </is>
      </c>
      <c r="C108" s="10" t="inlineStr">
        <is>
          <t>2026-10-13</t>
        </is>
      </c>
      <c r="D108" s="10" t="inlineStr"/>
      <c r="E108" s="10" t="inlineStr"/>
      <c r="F108" s="10" t="inlineStr">
        <is>
          <t>annuel</t>
        </is>
      </c>
      <c r="G108" s="10" t="inlineStr">
        <is>
          <t>non identifié publiquement</t>
        </is>
      </c>
      <c r="H108" s="10" t="inlineStr">
        <is>
          <t>Paris (arrondissement non communique)</t>
        </is>
      </c>
      <c r="I108" s="10" t="inlineStr">
        <is>
          <t>75</t>
        </is>
      </c>
      <c r="J108" s="10" t="inlineStr">
        <is>
          <t>présentiel</t>
        </is>
      </c>
      <c r="K108" s="11" t="inlineStr">
        <is>
          <t>Ceremonie nationale du Prix EY de l'Entrepreneur de l'Annee, apres les ceremonies regionales dont celle d'Ile-de-France.</t>
        </is>
      </c>
      <c r="L108" s="11" t="inlineStr">
        <is>
          <t>entrepreneurs laureats, jury et invites d'EY</t>
        </is>
      </c>
      <c r="M108" s="10" t="inlineStr">
        <is>
          <t>Tous secteurs - entrepreneuriat, ETI, PME de croissance</t>
        </is>
      </c>
      <c r="N108" s="10" t="inlineStr">
        <is>
          <t>non identifié publiquement</t>
        </is>
      </c>
      <c r="O108" s="10" t="inlineStr">
        <is>
          <t>non identifié publiquement</t>
        </is>
      </c>
      <c r="P108" s="10" t="inlineStr"/>
      <c r="Q108" s="11" t="inlineStr"/>
      <c r="R108" s="10" t="inlineStr">
        <is>
          <t>invitation</t>
        </is>
      </c>
      <c r="S108" s="10" t="inlineStr">
        <is>
          <t>oui</t>
        </is>
      </c>
      <c r="T108" s="11" t="inlineStr">
        <is>
          <t>Ceremonie de prix d'un cabinet d'audit et de conseil, acces sur invitation</t>
        </is>
      </c>
      <c r="U108" s="10" t="inlineStr">
        <is>
          <t>non identifié publiquement</t>
        </is>
      </c>
      <c r="V108" s="10" t="inlineStr">
        <is>
          <t>https://www.ey.com/fr_fr/prix-de-l-entrepreneur-de-l-annee</t>
        </is>
      </c>
      <c r="W108" s="10" t="inlineStr">
        <is>
          <t>2026-09-15</t>
        </is>
      </c>
      <c r="X108" s="11" t="inlineStr">
        <is>
          <t>La ceremonie regionale Ile-de-France s'est tenue le 8 septembre 2026 (hors fenetre, sept laureats distingues). La ceremonie nationale du 13 octobre concentre des dirigeants d'ETI et de PME de croissance : cible ICP dense, mais acces sur invitation. Lieu precis non publie au 15/09/2026.</t>
        </is>
      </c>
      <c r="Y108" s="7" t="inlineStr">
        <is>
          <t>0</t>
        </is>
      </c>
      <c r="Z108" s="7" t="inlineStr">
        <is>
          <t>Générique / Transversal</t>
        </is>
      </c>
      <c r="AA108" s="7" t="inlineStr"/>
      <c r="AB108" s="7" t="inlineStr"/>
      <c r="AC108" s="7" t="inlineStr">
        <is>
          <t>1</t>
        </is>
      </c>
      <c r="AD108" s="7" t="inlineStr">
        <is>
          <t>3</t>
        </is>
      </c>
      <c r="AE108" s="7" t="inlineStr">
        <is>
          <t>0</t>
        </is>
      </c>
      <c r="AF108" s="7" t="inlineStr">
        <is>
          <t>Générique / Multi-éditeurs / Sans dominante</t>
        </is>
      </c>
      <c r="AG108" s="8" t="inlineStr">
        <is>
          <t>estimé</t>
        </is>
      </c>
      <c r="AH108" s="12" t="inlineStr">
        <is>
          <t>Aucune dimension logicielle dans le positionnement de l'organisateur : rattache au 0 (sans dominante) plutot que laisse vide, conformement a la demande de non-vide</t>
        </is>
      </c>
      <c r="AI108" s="7" t="inlineStr">
        <is>
          <t>4</t>
        </is>
      </c>
      <c r="AJ108" s="7" t="inlineStr">
        <is>
          <t>121-400</t>
        </is>
      </c>
      <c r="AK108" s="8" t="inlineStr">
        <is>
          <t>estimé</t>
        </is>
      </c>
      <c r="AL108" s="7" t="inlineStr">
        <is>
          <t>estimation : 200 a 800 participants</t>
        </is>
      </c>
      <c r="AM108" s="11" t="inlineStr">
        <is>
          <t>Modele de format (ceremonie de remise de prix), fourchette 200-800</t>
        </is>
      </c>
      <c r="AN108" s="7" t="inlineStr">
        <is>
          <t>moyenne</t>
        </is>
      </c>
      <c r="AO108" s="7" t="inlineStr">
        <is>
          <t>1</t>
        </is>
      </c>
      <c r="AP108" s="7" t="inlineStr">
        <is>
          <t>Décideurs PME/ETI</t>
        </is>
      </c>
      <c r="AQ108" s="7" t="inlineStr">
        <is>
          <t>constaté</t>
        </is>
      </c>
      <c r="AR108" s="12" t="inlineStr"/>
      <c r="AS108" s="7" t="inlineStr">
        <is>
          <t>3</t>
        </is>
      </c>
      <c r="AT108" s="7" t="inlineStr">
        <is>
          <t>Difficile</t>
        </is>
      </c>
      <c r="AU108" s="7" t="inlineStr">
        <is>
          <t>constaté</t>
        </is>
      </c>
      <c r="AV108" s="12" t="inlineStr"/>
      <c r="AW108" s="7" t="inlineStr">
        <is>
          <t>S:0 L:0 N:4 P:1 A:3</t>
        </is>
      </c>
    </row>
    <row r="109">
      <c r="A109" s="10" t="inlineStr">
        <is>
          <t>RSE : par ou commencer pour booster durablement son business ?</t>
        </is>
      </c>
      <c r="B109" s="10" t="inlineStr">
        <is>
          <t>CCI Paris Ile-de-France</t>
        </is>
      </c>
      <c r="C109" s="10" t="inlineStr">
        <is>
          <t>2026-10-13</t>
        </is>
      </c>
      <c r="D109" s="10" t="inlineStr"/>
      <c r="E109" s="10" t="inlineStr"/>
      <c r="F109" s="10" t="inlineStr">
        <is>
          <t>non identifié publiquement</t>
        </is>
      </c>
      <c r="G109" s="10" t="inlineStr">
        <is>
          <t>Technoparc - Espace Media, 23 rue Gustave Eiffel</t>
        </is>
      </c>
      <c r="H109" s="10" t="inlineStr">
        <is>
          <t>Poissy</t>
        </is>
      </c>
      <c r="I109" s="10" t="inlineStr">
        <is>
          <t>78</t>
        </is>
      </c>
      <c r="J109" s="10" t="inlineStr">
        <is>
          <t>présentiel</t>
        </is>
      </c>
      <c r="K109" s="11" t="inlineStr">
        <is>
          <t>Atelier d'initiation a la demarche RSE en entreprise.</t>
        </is>
      </c>
      <c r="L109" s="11" t="inlineStr">
        <is>
          <t>non identifié publiquement</t>
        </is>
      </c>
      <c r="M109" s="10" t="inlineStr">
        <is>
          <t>RSE, developpement durable</t>
        </is>
      </c>
      <c r="N109" s="10" t="inlineStr">
        <is>
          <t>non identifié publiquement</t>
        </is>
      </c>
      <c r="O109" s="10" t="inlineStr">
        <is>
          <t>non identifié publiquement</t>
        </is>
      </c>
      <c r="P109" s="10" t="inlineStr"/>
      <c r="Q109" s="11" t="inlineStr"/>
      <c r="R109" s="10" t="inlineStr">
        <is>
          <t>inscription libre</t>
        </is>
      </c>
      <c r="S109" s="10" t="inlineStr">
        <is>
          <t>non</t>
        </is>
      </c>
      <c r="T109" s="11" t="inlineStr"/>
      <c r="U109" s="10" t="inlineStr">
        <is>
          <t>non identifié publiquement</t>
        </is>
      </c>
      <c r="V109" s="10" t="inlineStr">
        <is>
          <t>https://www.entreprises.cci-paris-idf.fr/evenements/rse-par-ou-commencer-pour-booster-durablement-son-business</t>
        </is>
      </c>
      <c r="W109" s="10" t="inlineStr">
        <is>
          <t>2026-09-15</t>
        </is>
      </c>
      <c r="X109" s="11" t="inlineStr"/>
      <c r="Y109" s="7" t="inlineStr">
        <is>
          <t>11</t>
        </is>
      </c>
      <c r="Z109" s="7" t="inlineStr">
        <is>
          <t>Énergie / Environnement / Utilities</t>
        </is>
      </c>
      <c r="AA109" s="7" t="inlineStr"/>
      <c r="AB109" s="7" t="inlineStr"/>
      <c r="AC109" s="7" t="inlineStr"/>
      <c r="AD109" s="7" t="inlineStr">
        <is>
          <t>2</t>
        </is>
      </c>
      <c r="AE109" s="7" t="inlineStr">
        <is>
          <t>0</t>
        </is>
      </c>
      <c r="AF109" s="7" t="inlineStr">
        <is>
          <t>Générique / Multi-éditeurs / Sans dominante</t>
        </is>
      </c>
      <c r="AG109" s="8" t="inlineStr">
        <is>
          <t>estimé</t>
        </is>
      </c>
      <c r="AH109" s="12" t="inlineStr">
        <is>
          <t>Aucune dimension logicielle dans le positionnement de l'organisateur : rattache au 0 (sans dominante) plutot que laisse vide, conformement a la demande de non-vide</t>
        </is>
      </c>
      <c r="AI109" s="7" t="inlineStr">
        <is>
          <t>2</t>
        </is>
      </c>
      <c r="AJ109" s="7" t="inlineStr">
        <is>
          <t>16-40</t>
        </is>
      </c>
      <c r="AK109" s="8" t="inlineStr">
        <is>
          <t>estimé</t>
        </is>
      </c>
      <c r="AL109" s="7" t="inlineStr">
        <is>
          <t>estimation : 15 a 60 participants</t>
        </is>
      </c>
      <c r="AM109" s="11" t="inlineStr">
        <is>
          <t>Modele de format (rendez-vous de chambre de commerce (atelier ou conference)), fourchette 15-60, plafonnee par la capacite du lieu (Technoparc - Espace Media, 23 rue Gustav ~ 300)</t>
        </is>
      </c>
      <c r="AN109" s="7" t="inlineStr">
        <is>
          <t>moyenne</t>
        </is>
      </c>
      <c r="AO109" s="7" t="inlineStr">
        <is>
          <t>1</t>
        </is>
      </c>
      <c r="AP109" s="7" t="inlineStr">
        <is>
          <t>Décideurs PME/ETI</t>
        </is>
      </c>
      <c r="AQ109" s="8" t="inlineStr">
        <is>
          <t>estimé</t>
        </is>
      </c>
      <c r="AR109" s="12" t="inlineStr">
        <is>
          <t>Organisateur CCI : public cible structurel de dirigeants et collaborateurs de TPE-PME</t>
        </is>
      </c>
      <c r="AS109" s="7" t="inlineStr">
        <is>
          <t>2</t>
        </is>
      </c>
      <c r="AT109" s="7" t="inlineStr">
        <is>
          <t>Moyen</t>
        </is>
      </c>
      <c r="AU109" s="7" t="inlineStr">
        <is>
          <t>constaté</t>
        </is>
      </c>
      <c r="AV109" s="12" t="inlineStr"/>
      <c r="AW109" s="7" t="inlineStr">
        <is>
          <t>S:11 L:0 N:2 P:1 A:2</t>
        </is>
      </c>
    </row>
    <row r="110">
      <c r="A110" s="10" t="inlineStr">
        <is>
          <t>Soiree tech du MEDEF - Fintech</t>
        </is>
      </c>
      <c r="B110" s="10" t="inlineStr">
        <is>
          <t>MEDEF</t>
        </is>
      </c>
      <c r="C110" s="10" t="inlineStr">
        <is>
          <t>2026-10-13</t>
        </is>
      </c>
      <c r="D110" s="10" t="inlineStr"/>
      <c r="E110" s="10" t="inlineStr"/>
      <c r="F110" s="10" t="inlineStr">
        <is>
          <t>non identifié publiquement</t>
        </is>
      </c>
      <c r="G110" s="10" t="inlineStr">
        <is>
          <t>non identifié publiquement</t>
        </is>
      </c>
      <c r="H110" s="10" t="inlineStr">
        <is>
          <t>Levallois-Perret</t>
        </is>
      </c>
      <c r="I110" s="10" t="inlineStr">
        <is>
          <t>92</t>
        </is>
      </c>
      <c r="J110" s="10" t="inlineStr">
        <is>
          <t>présentiel</t>
        </is>
      </c>
      <c r="K110" s="11" t="inlineStr">
        <is>
          <t>Soiree thematique du MEDEF consacree a la fintech.</t>
        </is>
      </c>
      <c r="L110" s="11" t="inlineStr">
        <is>
          <t>non identifié publiquement</t>
        </is>
      </c>
      <c r="M110" s="10" t="inlineStr">
        <is>
          <t>Fintech, finance, innovation</t>
        </is>
      </c>
      <c r="N110" s="10" t="inlineStr">
        <is>
          <t>non identifié publiquement</t>
        </is>
      </c>
      <c r="O110" s="10" t="inlineStr">
        <is>
          <t>non identifié publiquement</t>
        </is>
      </c>
      <c r="P110" s="10" t="inlineStr"/>
      <c r="Q110" s="11" t="inlineStr"/>
      <c r="R110" s="10" t="inlineStr">
        <is>
          <t>inscription libre</t>
        </is>
      </c>
      <c r="S110" s="10" t="inlineStr">
        <is>
          <t>non</t>
        </is>
      </c>
      <c r="T110" s="11" t="inlineStr"/>
      <c r="U110" s="10" t="inlineStr">
        <is>
          <t>non identifié publiquement</t>
        </is>
      </c>
      <c r="V110" s="10" t="inlineStr">
        <is>
          <t>https://lafrenchtech.gouv.fr/fr/evenements/soiree-tech-du-medef-fintech/</t>
        </is>
      </c>
      <c r="W110" s="10" t="inlineStr">
        <is>
          <t>2026-09-15</t>
        </is>
      </c>
      <c r="X110" s="11" t="inlineStr">
        <is>
          <t>Identifie via l'agregateur d'evenements de la Mission French Tech. Adresse precise non publiee.</t>
        </is>
      </c>
      <c r="Y110" s="7" t="inlineStr">
        <is>
          <t>4|8</t>
        </is>
      </c>
      <c r="Z110" s="7" t="inlineStr">
        <is>
          <t>Tech / IT / Logiciels / Télécom + Finance / Banque / Assurance</t>
        </is>
      </c>
      <c r="AA110" s="7" t="inlineStr">
        <is>
          <t>0</t>
        </is>
      </c>
      <c r="AB110" s="7" t="inlineStr"/>
      <c r="AC110" s="7" t="inlineStr"/>
      <c r="AD110" s="7" t="inlineStr">
        <is>
          <t>2</t>
        </is>
      </c>
      <c r="AE110" s="7" t="inlineStr">
        <is>
          <t>0</t>
        </is>
      </c>
      <c r="AF110" s="7" t="inlineStr">
        <is>
          <t>Générique / Multi-éditeurs / Sans dominante</t>
        </is>
      </c>
      <c r="AG110" s="7" t="inlineStr">
        <is>
          <t>déduit</t>
        </is>
      </c>
      <c r="AH110" s="12" t="inlineStr">
        <is>
          <t>Deduit du secteur (axe 1)</t>
        </is>
      </c>
      <c r="AI110" s="7" t="inlineStr">
        <is>
          <t>3</t>
        </is>
      </c>
      <c r="AJ110" s="7" t="inlineStr">
        <is>
          <t>41-120</t>
        </is>
      </c>
      <c r="AK110" s="8" t="inlineStr">
        <is>
          <t>estimé</t>
        </is>
      </c>
      <c r="AL110" s="7" t="inlineStr">
        <is>
          <t>estimation : 25 a 80 participants</t>
        </is>
      </c>
      <c r="AM110" s="11" t="inlineStr">
        <is>
          <t>Modele de format (rendez-vous d'organisation patronale), fourchette 25-80</t>
        </is>
      </c>
      <c r="AN110" s="7" t="inlineStr">
        <is>
          <t>moyenne</t>
        </is>
      </c>
      <c r="AO110" s="7" t="inlineStr">
        <is>
          <t>5|6</t>
        </is>
      </c>
      <c r="AP110" s="7" t="inlineStr">
        <is>
          <t>Pairs / Concurrents / Acteurs de l'offre + Investisseurs / Écosystème financement</t>
        </is>
      </c>
      <c r="AQ110" s="8" t="inlineStr">
        <is>
          <t>estimé</t>
        </is>
      </c>
      <c r="AR110" s="12" t="inlineStr">
        <is>
          <t>Evenement d'ecosysteme startup : acteurs de l'offre et investisseurs</t>
        </is>
      </c>
      <c r="AS110" s="7" t="inlineStr">
        <is>
          <t>2</t>
        </is>
      </c>
      <c r="AT110" s="7" t="inlineStr">
        <is>
          <t>Moyen</t>
        </is>
      </c>
      <c r="AU110" s="7" t="inlineStr">
        <is>
          <t>constaté</t>
        </is>
      </c>
      <c r="AV110" s="12" t="inlineStr"/>
      <c r="AW110" s="7" t="inlineStr">
        <is>
          <t>S:4|8 L:0 N:3 P:5|6 A:2</t>
        </is>
      </c>
    </row>
    <row r="111">
      <c r="A111" s="10" t="inlineStr">
        <is>
          <t>Welcome Session Genopole 2026</t>
        </is>
      </c>
      <c r="B111" s="10" t="inlineStr">
        <is>
          <t>Genopole</t>
        </is>
      </c>
      <c r="C111" s="10" t="inlineStr">
        <is>
          <t>2026-10-13</t>
        </is>
      </c>
      <c r="D111" s="10" t="inlineStr"/>
      <c r="E111" s="10" t="inlineStr"/>
      <c r="F111" s="10" t="inlineStr">
        <is>
          <t>non identifié publiquement</t>
        </is>
      </c>
      <c r="G111" s="10" t="inlineStr">
        <is>
          <t>Campus Genopole</t>
        </is>
      </c>
      <c r="H111" s="10" t="inlineStr">
        <is>
          <t>Evry-Courcouronnes</t>
        </is>
      </c>
      <c r="I111" s="10" t="inlineStr">
        <is>
          <t>91</t>
        </is>
      </c>
      <c r="J111" s="10" t="inlineStr">
        <is>
          <t>présentiel</t>
        </is>
      </c>
      <c r="K111" s="11" t="inlineStr">
        <is>
          <t>Rendez-vous de la communaute genopolitaine : accueil des nouveaux membres, decouverte de l'ecosysteme et des dispositifs d'accompagnement a l'innovation.</t>
        </is>
      </c>
      <c r="L111" s="11" t="inlineStr">
        <is>
          <t>communaute genopolitaine (chercheurs, entrepreneurs, entreprises du biocluster)</t>
        </is>
      </c>
      <c r="M111" s="10" t="inlineStr">
        <is>
          <t>Biotechnologies, sante, genomique</t>
        </is>
      </c>
      <c r="N111" s="10" t="inlineStr">
        <is>
          <t>non identifié publiquement</t>
        </is>
      </c>
      <c r="O111" s="10" t="inlineStr">
        <is>
          <t>non identifié publiquement</t>
        </is>
      </c>
      <c r="P111" s="10" t="inlineStr"/>
      <c r="Q111" s="11" t="inlineStr"/>
      <c r="R111" s="10" t="inlineStr">
        <is>
          <t>inscription libre</t>
        </is>
      </c>
      <c r="S111" s="10" t="inlineStr">
        <is>
          <t>oui</t>
        </is>
      </c>
      <c r="T111" s="11" t="inlineStr">
        <is>
          <t>Evenement de communaute oriente membres du biocluster Genopole</t>
        </is>
      </c>
      <c r="U111" s="10" t="inlineStr">
        <is>
          <t>non identifié publiquement</t>
        </is>
      </c>
      <c r="V111" s="10" t="inlineStr">
        <is>
          <t>https://www.genopole.fr/agenda/</t>
        </is>
      </c>
      <c r="W111" s="10" t="inlineStr">
        <is>
          <t>2026-09-15</t>
        </is>
      </c>
      <c r="X111" s="11" t="inlineStr"/>
      <c r="Y111" s="7" t="inlineStr">
        <is>
          <t>7</t>
        </is>
      </c>
      <c r="Z111" s="7" t="inlineStr">
        <is>
          <t>Santé / Pharma / Biotech / Medtech</t>
        </is>
      </c>
      <c r="AA111" s="7" t="inlineStr"/>
      <c r="AB111" s="7" t="inlineStr"/>
      <c r="AC111" s="7" t="inlineStr">
        <is>
          <t>7|1</t>
        </is>
      </c>
      <c r="AD111" s="7" t="inlineStr">
        <is>
          <t>2</t>
        </is>
      </c>
      <c r="AE111" s="7" t="inlineStr">
        <is>
          <t>0</t>
        </is>
      </c>
      <c r="AF111" s="7" t="inlineStr">
        <is>
          <t>Générique / Multi-éditeurs / Sans dominante</t>
        </is>
      </c>
      <c r="AG111" s="8" t="inlineStr">
        <is>
          <t>estimé</t>
        </is>
      </c>
      <c r="AH111" s="12" t="inlineStr">
        <is>
          <t>Aucune dimension logicielle dans le positionnement de l'organisateur : rattache au 0 (sans dominante) plutot que laisse vide, conformement a la demande de non-vide</t>
        </is>
      </c>
      <c r="AI111" s="7" t="inlineStr">
        <is>
          <t>3</t>
        </is>
      </c>
      <c r="AJ111" s="7" t="inlineStr">
        <is>
          <t>41-120</t>
        </is>
      </c>
      <c r="AK111" s="8" t="inlineStr">
        <is>
          <t>estimé</t>
        </is>
      </c>
      <c r="AL111" s="7" t="inlineStr">
        <is>
          <t>estimation : 50 a 250 participants</t>
        </is>
      </c>
      <c r="AM111" s="11" t="inlineStr">
        <is>
          <t>Modele de format (rendez-vous de pole de competitivite ou de cluster), fourchette 50-250, plafonnee par la capacite du lieu (Campus Genopole ~ 400)</t>
        </is>
      </c>
      <c r="AN111" s="7" t="inlineStr">
        <is>
          <t>moyenne</t>
        </is>
      </c>
      <c r="AO111" s="7" t="inlineStr">
        <is>
          <t>7|1</t>
        </is>
      </c>
      <c r="AP111" s="7" t="inlineStr">
        <is>
          <t>Experts / Advisors / Associations professionnelles + Décideurs PME/ETI</t>
        </is>
      </c>
      <c r="AQ111" s="7" t="inlineStr">
        <is>
          <t>constaté</t>
        </is>
      </c>
      <c r="AR111" s="12" t="inlineStr"/>
      <c r="AS111" s="7" t="inlineStr">
        <is>
          <t>2</t>
        </is>
      </c>
      <c r="AT111" s="7" t="inlineStr">
        <is>
          <t>Moyen</t>
        </is>
      </c>
      <c r="AU111" s="7" t="inlineStr">
        <is>
          <t>constaté</t>
        </is>
      </c>
      <c r="AV111" s="12" t="inlineStr"/>
      <c r="AW111" s="7" t="inlineStr">
        <is>
          <t>S:7 L:0 N:3 P:7|1 A:2</t>
        </is>
      </c>
    </row>
    <row r="112">
      <c r="A112" s="10" t="inlineStr">
        <is>
          <t>ai-PULSE 2026</t>
        </is>
      </c>
      <c r="B112" s="10" t="inlineStr">
        <is>
          <t>Scaleway</t>
        </is>
      </c>
      <c r="C112" s="10" t="inlineStr">
        <is>
          <t>2026-10-13</t>
        </is>
      </c>
      <c r="D112" s="10" t="inlineStr"/>
      <c r="E112" s="10" t="inlineStr"/>
      <c r="F112" s="10" t="inlineStr">
        <is>
          <t>non identifié publiquement</t>
        </is>
      </c>
      <c r="G112" s="10" t="inlineStr">
        <is>
          <t>STATION F</t>
        </is>
      </c>
      <c r="H112" s="10" t="inlineStr">
        <is>
          <t>Paris (arrondissement selon le lieu)</t>
        </is>
      </c>
      <c r="I112" s="10" t="inlineStr">
        <is>
          <t>75</t>
        </is>
      </c>
      <c r="J112" s="10" t="inlineStr">
        <is>
          <t>présentiel</t>
        </is>
      </c>
      <c r="K112" s="11" t="inlineStr">
        <is>
          <t>Conférence IA majeure à Paris le 13 octobre 2026. Rejoignez innovateurs et leaders tech à STATION F pour explorer l'avenir de l'intelligence artificielle.</t>
        </is>
      </c>
      <c r="L112" s="11" t="inlineStr">
        <is>
          <t>non identifié publiquement</t>
        </is>
      </c>
      <c r="M112" s="10" t="inlineStr">
        <is>
          <t>Numerique, informatique, technologies</t>
        </is>
      </c>
      <c r="N112" s="10" t="inlineStr">
        <is>
          <t>ai-PULSE 2026 - Conférence IA majeure à Paris le 13 octobre 2026. Rejoignez innovateurs et leaders tech à STATION F pour explo</t>
        </is>
      </c>
      <c r="O112" s="10" t="inlineStr">
        <is>
          <t>non identifié publiquement</t>
        </is>
      </c>
      <c r="P112" s="10" t="inlineStr">
        <is>
          <t>CONFIRME</t>
        </is>
      </c>
      <c r="Q112" s="11" t="inlineStr">
        <is>
          <t>Chiffre annonce par Scaleway pour la 4e edition (ai-pulse.eu)</t>
        </is>
      </c>
      <c r="R112" s="10" t="inlineStr">
        <is>
          <t>non identifié publiquement</t>
        </is>
      </c>
      <c r="S112" s="10" t="inlineStr">
        <is>
          <t>non</t>
        </is>
      </c>
      <c r="T112" s="11" t="inlineStr"/>
      <c r="U112" s="10" t="inlineStr">
        <is>
          <t>non identifié publiquement</t>
        </is>
      </c>
      <c r="V112" s="10" t="inlineStr">
        <is>
          <t>https://www.agenda-tech.com/events/ai-pulse-2026</t>
        </is>
      </c>
      <c r="W112" s="10" t="inlineStr">
        <is>
          <t>2026-09-15</t>
        </is>
      </c>
      <c r="X112" s="11" t="inlineStr">
        <is>
          <t>Identifie via l'agregateur specialise Agenda Tech (donnees structurees schema.org publiees par l'organisateur).</t>
        </is>
      </c>
      <c r="Y112" s="7" t="inlineStr">
        <is>
          <t>16|4</t>
        </is>
      </c>
      <c r="Z112" s="7" t="inlineStr">
        <is>
          <t>IA / Intelligence artificielle + Tech / IT / Logiciels / Télécom</t>
        </is>
      </c>
      <c r="AA112" s="7" t="inlineStr">
        <is>
          <t>11</t>
        </is>
      </c>
      <c r="AB112" s="7" t="inlineStr"/>
      <c r="AC112" s="7" t="inlineStr"/>
      <c r="AD112" s="7" t="inlineStr"/>
      <c r="AE112" s="7" t="inlineStr">
        <is>
          <t>11</t>
        </is>
      </c>
      <c r="AF112" s="7" t="inlineStr">
        <is>
          <t>IA / Automatisation / No-code / Low-code</t>
        </is>
      </c>
      <c r="AG112" s="7" t="inlineStr">
        <is>
          <t>déduit</t>
        </is>
      </c>
      <c r="AH112" s="12" t="inlineStr">
        <is>
          <t>Deduit du secteur (axe 1)</t>
        </is>
      </c>
      <c r="AI112" s="7" t="inlineStr">
        <is>
          <t>5</t>
        </is>
      </c>
      <c r="AJ112" s="7" t="inlineStr">
        <is>
          <t>401-2000</t>
        </is>
      </c>
      <c r="AK112" s="7" t="inlineStr">
        <is>
          <t>constaté</t>
        </is>
      </c>
      <c r="AL112" s="7" t="inlineStr">
        <is>
          <t>plus de 2 000 participants attendus</t>
        </is>
      </c>
      <c r="AM112" s="11" t="inlineStr">
        <is>
          <t>Chiffre annonce par Scaleway pour la 4e edition (ai-pulse.eu)</t>
        </is>
      </c>
      <c r="AN112" s="7" t="inlineStr">
        <is>
          <t>haute</t>
        </is>
      </c>
      <c r="AO112" s="7" t="inlineStr">
        <is>
          <t>3</t>
        </is>
      </c>
      <c r="AP112" s="7" t="inlineStr">
        <is>
          <t>Opérationnels / Utilisateurs métier</t>
        </is>
      </c>
      <c r="AQ112" s="8" t="inlineStr">
        <is>
          <t>estimé</t>
        </is>
      </c>
      <c r="AR112" s="12" t="inlineStr">
        <is>
          <t>Conference technique IA : profils operationnels et utilisateurs metier</t>
        </is>
      </c>
      <c r="AS112" s="7" t="inlineStr">
        <is>
          <t>2</t>
        </is>
      </c>
      <c r="AT112" s="7" t="inlineStr">
        <is>
          <t>Moyen</t>
        </is>
      </c>
      <c r="AU112" s="8" t="inlineStr">
        <is>
          <t>estimé</t>
        </is>
      </c>
      <c r="AV112" s="12" t="inlineStr">
        <is>
          <t>Billetterie en vente libre (mention 'Voir tarifs sur le site' chez Agenda Tech), sans gratuite confirmee</t>
        </is>
      </c>
      <c r="AW112" s="7" t="inlineStr">
        <is>
          <t>S:16|4 L:11 N:5 P:3 A:2</t>
        </is>
      </c>
    </row>
    <row r="113">
      <c r="A113" s="10" t="inlineStr">
        <is>
          <t>Business Cafe : garder le cap - detecter tot, reagir vite, mobiliser les bons acteurs</t>
        </is>
      </c>
      <c r="B113" s="10" t="inlineStr">
        <is>
          <t>CCI Paris Ile-de-France</t>
        </is>
      </c>
      <c r="C113" s="10" t="inlineStr">
        <is>
          <t>2026-10-14</t>
        </is>
      </c>
      <c r="D113" s="10" t="inlineStr"/>
      <c r="E113" s="10" t="inlineStr"/>
      <c r="F113" s="10" t="inlineStr">
        <is>
          <t>non identifié publiquement</t>
        </is>
      </c>
      <c r="G113" s="10" t="inlineStr">
        <is>
          <t>CCI Hauts-de-Seine - Coeur Defense, Tour A, 2e etage</t>
        </is>
      </c>
      <c r="H113" s="10" t="inlineStr">
        <is>
          <t>Courbevoie (quartier Paris La Defense)</t>
        </is>
      </c>
      <c r="I113" s="10" t="inlineStr">
        <is>
          <t>92</t>
        </is>
      </c>
      <c r="J113" s="10" t="inlineStr">
        <is>
          <t>présentiel</t>
        </is>
      </c>
      <c r="K113" s="11" t="inlineStr">
        <is>
          <t>Atelier sur la detection precoce des difficultes d'entreprise.</t>
        </is>
      </c>
      <c r="L113" s="11" t="inlineStr">
        <is>
          <t>non identifié publiquement</t>
        </is>
      </c>
      <c r="M113" s="10" t="inlineStr">
        <is>
          <t>Prevention des difficultes</t>
        </is>
      </c>
      <c r="N113" s="10" t="inlineStr">
        <is>
          <t>non identifié publiquement</t>
        </is>
      </c>
      <c r="O113" s="10" t="inlineStr">
        <is>
          <t>non identifié publiquement</t>
        </is>
      </c>
      <c r="P113" s="10" t="inlineStr"/>
      <c r="Q113" s="11" t="inlineStr"/>
      <c r="R113" s="10" t="inlineStr">
        <is>
          <t>inscription libre</t>
        </is>
      </c>
      <c r="S113" s="10" t="inlineStr">
        <is>
          <t>non</t>
        </is>
      </c>
      <c r="T113" s="11" t="inlineStr"/>
      <c r="U113" s="10" t="inlineStr">
        <is>
          <t>non identifié publiquement</t>
        </is>
      </c>
      <c r="V113" s="10" t="inlineStr">
        <is>
          <t>https://www.entreprises.cci-paris-idf.fr/evenements/business-cafe-garder-le-cap-detecter-tot-reagir-vite-mobiliser-les-bons-acteurs</t>
        </is>
      </c>
      <c r="W113" s="10" t="inlineStr">
        <is>
          <t>2026-09-15</t>
        </is>
      </c>
      <c r="X113" s="11" t="inlineStr"/>
      <c r="Y113" s="7" t="inlineStr">
        <is>
          <t>0</t>
        </is>
      </c>
      <c r="Z113" s="7" t="inlineStr">
        <is>
          <t>Générique / Transversal</t>
        </is>
      </c>
      <c r="AA113" s="7" t="inlineStr"/>
      <c r="AB113" s="7" t="inlineStr"/>
      <c r="AC113" s="7" t="inlineStr"/>
      <c r="AD113" s="7" t="inlineStr">
        <is>
          <t>2</t>
        </is>
      </c>
      <c r="AE113" s="7" t="inlineStr">
        <is>
          <t>0</t>
        </is>
      </c>
      <c r="AF113" s="7" t="inlineStr">
        <is>
          <t>Générique / Multi-éditeurs / Sans dominante</t>
        </is>
      </c>
      <c r="AG113" s="8" t="inlineStr">
        <is>
          <t>estimé</t>
        </is>
      </c>
      <c r="AH113" s="12" t="inlineStr">
        <is>
          <t>Aucune dimension logicielle dans le positionnement de l'organisateur : rattache au 0 (sans dominante) plutot que laisse vide, conformement a la demande de non-vide</t>
        </is>
      </c>
      <c r="AI113" s="7" t="inlineStr">
        <is>
          <t>2</t>
        </is>
      </c>
      <c r="AJ113" s="7" t="inlineStr">
        <is>
          <t>16-40</t>
        </is>
      </c>
      <c r="AK113" s="8" t="inlineStr">
        <is>
          <t>estimé</t>
        </is>
      </c>
      <c r="AL113" s="7" t="inlineStr">
        <is>
          <t>estimation : 10 a 30 participants</t>
        </is>
      </c>
      <c r="AM113" s="11" t="inlineStr">
        <is>
          <t>Modele de format (atelier ou formation en chambre de commerce), fourchette 10-30, plafonnee par la capacite du lieu (CCI Hauts-de-Seine - Coeur Defense, Tour ~ 120)</t>
        </is>
      </c>
      <c r="AN113" s="7" t="inlineStr">
        <is>
          <t>moyenne</t>
        </is>
      </c>
      <c r="AO113" s="7" t="inlineStr">
        <is>
          <t>1</t>
        </is>
      </c>
      <c r="AP113" s="7" t="inlineStr">
        <is>
          <t>Décideurs PME/ETI</t>
        </is>
      </c>
      <c r="AQ113" s="8" t="inlineStr">
        <is>
          <t>estimé</t>
        </is>
      </c>
      <c r="AR113" s="12" t="inlineStr">
        <is>
          <t>Organisateur CCI : public cible structurel de dirigeants et collaborateurs de TPE-PME</t>
        </is>
      </c>
      <c r="AS113" s="7" t="inlineStr">
        <is>
          <t>2</t>
        </is>
      </c>
      <c r="AT113" s="7" t="inlineStr">
        <is>
          <t>Moyen</t>
        </is>
      </c>
      <c r="AU113" s="7" t="inlineStr">
        <is>
          <t>constaté</t>
        </is>
      </c>
      <c r="AV113" s="12" t="inlineStr"/>
      <c r="AW113" s="7" t="inlineStr">
        <is>
          <t>S:0 L:0 N:2 P:1 A:2</t>
        </is>
      </c>
    </row>
    <row r="114">
      <c r="A114" s="10" t="inlineStr">
        <is>
          <t>Cosmetic 360 - edition 2026</t>
        </is>
      </c>
      <c r="B114" s="10" t="inlineStr">
        <is>
          <t>Cosmetic Valley</t>
        </is>
      </c>
      <c r="C114" s="10" t="inlineStr">
        <is>
          <t>2026-10-14</t>
        </is>
      </c>
      <c r="D114" s="10" t="inlineStr">
        <is>
          <t>2026-10-15</t>
        </is>
      </c>
      <c r="E114" s="10" t="inlineStr"/>
      <c r="F114" s="10" t="inlineStr">
        <is>
          <t>annuel</t>
        </is>
      </c>
      <c r="G114" s="10" t="inlineStr">
        <is>
          <t>Carrousel du Louvre</t>
        </is>
      </c>
      <c r="H114" s="10" t="inlineStr">
        <is>
          <t>Paris 1er</t>
        </is>
      </c>
      <c r="I114" s="10" t="inlineStr">
        <is>
          <t>75</t>
        </is>
      </c>
      <c r="J114" s="10" t="inlineStr">
        <is>
          <t>présentiel</t>
        </is>
      </c>
      <c r="K114" s="11" t="inlineStr">
        <is>
          <t>Le salon international des innovations pour la filière parfurmerie - cosmétiques</t>
        </is>
      </c>
      <c r="L114" s="11" t="inlineStr">
        <is>
          <t>Visitorat : réservé aux professionnels (fiche CCI Paris Ile-de-France)</t>
        </is>
      </c>
      <c r="M114" s="10" t="inlineStr">
        <is>
          <t>Hygiène, beauté, coiffure, forme et thermalisme</t>
        </is>
      </c>
      <c r="N114" s="10" t="inlineStr">
        <is>
          <t>non identifié publiquement</t>
        </is>
      </c>
      <c r="O114" s="10" t="inlineStr">
        <is>
          <t>non identifié publiquement</t>
        </is>
      </c>
      <c r="P114" s="10" t="inlineStr">
        <is>
          <t>CONFIRME</t>
        </is>
      </c>
      <c r="Q114" s="11" t="inlineStr">
        <is>
          <t>Chiffres annonces par Cosmetic Valley pour l'edition 2026, relayes par Premium Beauty News</t>
        </is>
      </c>
      <c r="R114" s="10" t="inlineStr">
        <is>
          <t>billet payant</t>
        </is>
      </c>
      <c r="S114" s="10" t="inlineStr">
        <is>
          <t>oui</t>
        </is>
      </c>
      <c r="T114" s="11" t="inlineStr">
        <is>
          <t>Salon reserve aux professionnels de la filiere cosmetique et parfumerie</t>
        </is>
      </c>
      <c r="U114" s="10" t="inlineStr">
        <is>
          <t>non identifié publiquement</t>
        </is>
      </c>
      <c r="V114" s="10" t="inlineStr">
        <is>
          <t>https://www.cci-paris-idf.fr/fr/evenements-salons/salons-foires-paris-ile-de-france/cosmetic-360</t>
        </is>
      </c>
      <c r="W114" s="10" t="inlineStr">
        <is>
          <t>2026-09-15</t>
        </is>
      </c>
      <c r="X114" s="11" t="inlineStr">
        <is>
          <t>Organise par le pole de competitivite Cosmetic Valley : egalement rattachable a la famille F.</t>
        </is>
      </c>
      <c r="Y114" s="7" t="inlineStr">
        <is>
          <t>1</t>
        </is>
      </c>
      <c r="Z114" s="7" t="inlineStr">
        <is>
          <t>Luxe / Mode / Beauté / Joaillerie</t>
        </is>
      </c>
      <c r="AA114" s="7" t="inlineStr"/>
      <c r="AB114" s="7" t="inlineStr"/>
      <c r="AC114" s="7" t="inlineStr"/>
      <c r="AD114" s="7" t="inlineStr">
        <is>
          <t>2</t>
        </is>
      </c>
      <c r="AE114" s="7" t="inlineStr">
        <is>
          <t>0</t>
        </is>
      </c>
      <c r="AF114" s="7" t="inlineStr">
        <is>
          <t>Générique / Multi-éditeurs / Sans dominante</t>
        </is>
      </c>
      <c r="AG114" s="8" t="inlineStr">
        <is>
          <t>estimé</t>
        </is>
      </c>
      <c r="AH114" s="12" t="inlineStr">
        <is>
          <t>Aucune dimension logicielle dans le positionnement de l'organisateur : rattache au 0 (sans dominante) plutot que laisse vide, conformement a la demande de non-vide</t>
        </is>
      </c>
      <c r="AI114" s="7" t="inlineStr">
        <is>
          <t>6</t>
        </is>
      </c>
      <c r="AJ114" s="7" t="inlineStr">
        <is>
          <t>&gt;2000</t>
        </is>
      </c>
      <c r="AK114" s="7" t="inlineStr">
        <is>
          <t>constaté</t>
        </is>
      </c>
      <c r="AL114" s="7" t="inlineStr">
        <is>
          <t>plus de 5 800 visiteurs de 70 pays et 260 exposants de plus de 20 pays (12e edition)</t>
        </is>
      </c>
      <c r="AM114" s="11" t="inlineStr">
        <is>
          <t>Chiffres annonces par Cosmetic Valley pour l'edition 2026, relayes par Premium Beauty News</t>
        </is>
      </c>
      <c r="AN114" s="7" t="inlineStr">
        <is>
          <t>haute</t>
        </is>
      </c>
      <c r="AO114" s="7" t="inlineStr">
        <is>
          <t>1</t>
        </is>
      </c>
      <c r="AP114" s="7" t="inlineStr">
        <is>
          <t>Décideurs PME/ETI</t>
        </is>
      </c>
      <c r="AQ114" s="8" t="inlineStr">
        <is>
          <t>estimé</t>
        </is>
      </c>
      <c r="AR114" s="12" t="inlineStr">
        <is>
          <t>Par defaut, evenement B2B francilien : decideurs PME/ETI</t>
        </is>
      </c>
      <c r="AS114" s="7" t="inlineStr">
        <is>
          <t>2</t>
        </is>
      </c>
      <c r="AT114" s="7" t="inlineStr">
        <is>
          <t>Moyen</t>
        </is>
      </c>
      <c r="AU114" s="7" t="inlineStr">
        <is>
          <t>constaté</t>
        </is>
      </c>
      <c r="AV114" s="12" t="inlineStr"/>
      <c r="AW114" s="7" t="inlineStr">
        <is>
          <t>S:1 L:0 N:6 P:1 A:2</t>
        </is>
      </c>
    </row>
    <row r="115">
      <c r="A115" s="10" t="inlineStr">
        <is>
          <t>Innopolis Expo</t>
        </is>
      </c>
      <c r="B115" s="10" t="inlineStr">
        <is>
          <t>Apos media</t>
        </is>
      </c>
      <c r="C115" s="10" t="inlineStr">
        <is>
          <t>2026-10-14</t>
        </is>
      </c>
      <c r="D115" s="10" t="inlineStr">
        <is>
          <t>2026-10-15</t>
        </is>
      </c>
      <c r="E115" s="10" t="inlineStr"/>
      <c r="F115" s="10" t="inlineStr">
        <is>
          <t>non identifié publiquement</t>
        </is>
      </c>
      <c r="G115" s="10" t="inlineStr">
        <is>
          <t>Paris Expo Porte de Versailles</t>
        </is>
      </c>
      <c r="H115" s="10" t="inlineStr">
        <is>
          <t>Paris (arrondissement selon le lieu)</t>
        </is>
      </c>
      <c r="I115" s="10" t="inlineStr">
        <is>
          <t>75</t>
        </is>
      </c>
      <c r="J115" s="10" t="inlineStr">
        <is>
          <t>présentiel</t>
        </is>
      </c>
      <c r="K115" s="11" t="inlineStr">
        <is>
          <t>Innopolis Expo à Paris le 14 octobre 2026. Événement d'innovation urbaine et territoriale organisé par Apos media.</t>
        </is>
      </c>
      <c r="L115" s="11" t="inlineStr">
        <is>
          <t>non identifié publiquement</t>
        </is>
      </c>
      <c r="M115" s="10" t="inlineStr">
        <is>
          <t>Numerique, informatique, technologies</t>
        </is>
      </c>
      <c r="N115" s="10" t="inlineStr">
        <is>
          <t>non identifié publiquement</t>
        </is>
      </c>
      <c r="O115" s="10" t="inlineStr">
        <is>
          <t>non identifié publiquement</t>
        </is>
      </c>
      <c r="P115" s="10" t="inlineStr">
        <is>
          <t>ESTIME</t>
        </is>
      </c>
      <c r="Q115" s="11" t="inlineStr">
        <is>
          <t>Effectif attendu publie par l'agregateur specialise Agenda Tech pour cette edition</t>
        </is>
      </c>
      <c r="R115" s="10" t="inlineStr">
        <is>
          <t>non identifié publiquement</t>
        </is>
      </c>
      <c r="S115" s="10" t="inlineStr">
        <is>
          <t>non</t>
        </is>
      </c>
      <c r="T115" s="11" t="inlineStr"/>
      <c r="U115" s="10" t="inlineStr">
        <is>
          <t>non identifié publiquement</t>
        </is>
      </c>
      <c r="V115" s="10" t="inlineStr">
        <is>
          <t>https://www.agenda-tech.com/events/innopolis-expo-2026</t>
        </is>
      </c>
      <c r="W115" s="10" t="inlineStr">
        <is>
          <t>2026-09-15</t>
        </is>
      </c>
      <c r="X115" s="11" t="inlineStr">
        <is>
          <t>Identifie via l'agregateur specialise Agenda Tech (donnees structurees schema.org publiees par l'organisateur).</t>
        </is>
      </c>
      <c r="Y115" s="7" t="inlineStr">
        <is>
          <t>4</t>
        </is>
      </c>
      <c r="Z115" s="7" t="inlineStr">
        <is>
          <t>Tech / IT / Logiciels / Télécom</t>
        </is>
      </c>
      <c r="AA115" s="7" t="inlineStr">
        <is>
          <t>0</t>
        </is>
      </c>
      <c r="AB115" s="7" t="inlineStr"/>
      <c r="AC115" s="7" t="inlineStr">
        <is>
          <t>9|8</t>
        </is>
      </c>
      <c r="AD115" s="7" t="inlineStr"/>
      <c r="AE115" s="7" t="inlineStr">
        <is>
          <t>0</t>
        </is>
      </c>
      <c r="AF115" s="7" t="inlineStr">
        <is>
          <t>Générique / Multi-éditeurs / Sans dominante</t>
        </is>
      </c>
      <c r="AG115" s="7" t="inlineStr">
        <is>
          <t>déduit</t>
        </is>
      </c>
      <c r="AH115" s="12" t="inlineStr">
        <is>
          <t>Deduit du secteur (axe 1)</t>
        </is>
      </c>
      <c r="AI115" s="7" t="inlineStr">
        <is>
          <t>5</t>
        </is>
      </c>
      <c r="AJ115" s="7" t="inlineStr">
        <is>
          <t>401-2000</t>
        </is>
      </c>
      <c r="AK115" s="8" t="inlineStr">
        <is>
          <t>estimé</t>
        </is>
      </c>
      <c r="AL115" s="7" t="inlineStr">
        <is>
          <t>environ 2000 participants</t>
        </is>
      </c>
      <c r="AM115" s="11" t="inlineStr">
        <is>
          <t>Effectif attendu publie par Agenda Tech (agregateur specialise, chiffre de l'organisateur ou de l'agregateur)</t>
        </is>
      </c>
      <c r="AN115" s="7" t="inlineStr">
        <is>
          <t>moyenne</t>
        </is>
      </c>
      <c r="AO115" s="7" t="inlineStr">
        <is>
          <t>9|8</t>
        </is>
      </c>
      <c r="AP115" s="7" t="inlineStr">
        <is>
          <t>Institutionnels / Secteur public + Journalistes / Médias</t>
        </is>
      </c>
      <c r="AQ115" s="7" t="inlineStr">
        <is>
          <t>constaté</t>
        </is>
      </c>
      <c r="AR115" s="12" t="inlineStr"/>
      <c r="AS115" s="7" t="inlineStr">
        <is>
          <t>2</t>
        </is>
      </c>
      <c r="AT115" s="7" t="inlineStr">
        <is>
          <t>Moyen</t>
        </is>
      </c>
      <c r="AU115" s="8" t="inlineStr">
        <is>
          <t>estimé</t>
        </is>
      </c>
      <c r="AV115" s="12" t="inlineStr">
        <is>
          <t>Billetterie en vente libre (mention 'Voir tarifs sur le site' chez Agenda Tech), sans gratuite confirmee</t>
        </is>
      </c>
      <c r="AW115" s="7" t="inlineStr">
        <is>
          <t>S:4 L:0 N:5 P:9|8 A:2</t>
        </is>
      </c>
    </row>
    <row r="116">
      <c r="A116" s="10" t="inlineStr">
        <is>
          <t>Intelligent Building Systems (IBS) 2026</t>
        </is>
      </c>
      <c r="B116" s="10" t="inlineStr">
        <is>
          <t>non identifié publiquement</t>
        </is>
      </c>
      <c r="C116" s="10" t="inlineStr">
        <is>
          <t>2026-10-14</t>
        </is>
      </c>
      <c r="D116" s="10" t="inlineStr">
        <is>
          <t>2026-10-15</t>
        </is>
      </c>
      <c r="E116" s="10" t="inlineStr"/>
      <c r="F116" s="10" t="inlineStr">
        <is>
          <t>annuel</t>
        </is>
      </c>
      <c r="G116" s="10" t="inlineStr">
        <is>
          <t>Paris Expo Porte de Versailles</t>
        </is>
      </c>
      <c r="H116" s="10" t="inlineStr">
        <is>
          <t>Paris 15e</t>
        </is>
      </c>
      <c r="I116" s="10" t="inlineStr">
        <is>
          <t>75</t>
        </is>
      </c>
      <c r="J116" s="10" t="inlineStr">
        <is>
          <t>présentiel</t>
        </is>
      </c>
      <c r="K116" s="11" t="inlineStr">
        <is>
          <t>Le salon de la performance des bâtiments tertiaires, industriels et collectifs</t>
        </is>
      </c>
      <c r="L116" s="11" t="inlineStr">
        <is>
          <t>Visitorat : réservé aux professionnels (fiche CCI Paris Ile-de-France)</t>
        </is>
      </c>
      <c r="M116" s="10" t="inlineStr">
        <is>
          <t>Bâtiment, travaux publics, second oeuvre, aménagement et architecture</t>
        </is>
      </c>
      <c r="N116" s="10" t="inlineStr">
        <is>
          <t>Smart building, GTB/GTC, supervision, IoT batiment</t>
        </is>
      </c>
      <c r="O116" s="10" t="inlineStr">
        <is>
          <t>non identifié publiquement</t>
        </is>
      </c>
      <c r="P116" s="10" t="inlineStr">
        <is>
          <t>CONFIRME</t>
        </is>
      </c>
      <c r="Q116" s="11" t="inlineStr">
        <is>
          <t>Chiffre annonce par l'organisateur (ibs-event.com) pour l'edition 2026</t>
        </is>
      </c>
      <c r="R116" s="10" t="inlineStr">
        <is>
          <t>inscription libre</t>
        </is>
      </c>
      <c r="S116" s="10" t="inlineStr">
        <is>
          <t>oui</t>
        </is>
      </c>
      <c r="T116" s="11" t="inlineStr">
        <is>
          <t>Salon reserve aux professionnels du batiment intelligent</t>
        </is>
      </c>
      <c r="U116" s="10" t="inlineStr">
        <is>
          <t>non identifié publiquement</t>
        </is>
      </c>
      <c r="V116" s="10" t="inlineStr">
        <is>
          <t>https://www.cci-paris-idf.fr/fr/evenements-salons/salons-foires-paris-ile-de-france/intelligent-building-systems-ibs</t>
        </is>
      </c>
      <c r="W116" s="10" t="inlineStr">
        <is>
          <t>2026-09-15</t>
        </is>
      </c>
      <c r="X116" s="11" t="inlineStr">
        <is>
          <t>CONFLIT DE DATES SIGNALE : le repertoire CCI Paris IDF annonce les 14-15 octobre 2026, l'agregateur Agenda Tech les 13-14 octobre 2026 (fiche 'IBS Paris 2026', organisateur Groupe Infopromotions). Dates CCI retenues, ecart a verifier avant exploitation.</t>
        </is>
      </c>
      <c r="Y116" s="7" t="inlineStr">
        <is>
          <t>2</t>
        </is>
      </c>
      <c r="Z116" s="7" t="inlineStr">
        <is>
          <t>Immobilier / Construction / BTP</t>
        </is>
      </c>
      <c r="AA116" s="7" t="inlineStr"/>
      <c r="AB116" s="7" t="inlineStr"/>
      <c r="AC116" s="7" t="inlineStr"/>
      <c r="AD116" s="7" t="inlineStr">
        <is>
          <t>2</t>
        </is>
      </c>
      <c r="AE116" s="7" t="inlineStr">
        <is>
          <t>0</t>
        </is>
      </c>
      <c r="AF116" s="7" t="inlineStr">
        <is>
          <t>Générique / Multi-éditeurs / Sans dominante</t>
        </is>
      </c>
      <c r="AG116" s="8" t="inlineStr">
        <is>
          <t>estimé</t>
        </is>
      </c>
      <c r="AH116" s="12" t="inlineStr">
        <is>
          <t>Dimension logicielle plausible mais non documentee : rattache au 0 (sans dominante)</t>
        </is>
      </c>
      <c r="AI116" s="7" t="inlineStr">
        <is>
          <t>4</t>
        </is>
      </c>
      <c r="AJ116" s="7" t="inlineStr">
        <is>
          <t>121-400</t>
        </is>
      </c>
      <c r="AK116" s="7" t="inlineStr">
        <is>
          <t>constaté</t>
        </is>
      </c>
      <c r="AL116" s="7" t="inlineStr">
        <is>
          <t>165 exposants et partenaires (15e edition)</t>
        </is>
      </c>
      <c r="AM116" s="11" t="inlineStr">
        <is>
          <t>Chiffre annonce par l'organisateur (ibs-event.com) pour l'edition 2026</t>
        </is>
      </c>
      <c r="AN116" s="7" t="inlineStr">
        <is>
          <t>haute</t>
        </is>
      </c>
      <c r="AO116" s="7" t="inlineStr">
        <is>
          <t>1</t>
        </is>
      </c>
      <c r="AP116" s="7" t="inlineStr">
        <is>
          <t>Décideurs PME/ETI</t>
        </is>
      </c>
      <c r="AQ116" s="8" t="inlineStr">
        <is>
          <t>estimé</t>
        </is>
      </c>
      <c r="AR116" s="12" t="inlineStr">
        <is>
          <t>Par defaut, evenement B2B francilien : decideurs PME/ETI</t>
        </is>
      </c>
      <c r="AS116" s="7" t="inlineStr">
        <is>
          <t>2</t>
        </is>
      </c>
      <c r="AT116" s="7" t="inlineStr">
        <is>
          <t>Moyen</t>
        </is>
      </c>
      <c r="AU116" s="7" t="inlineStr">
        <is>
          <t>constaté</t>
        </is>
      </c>
      <c r="AV116" s="12" t="inlineStr"/>
      <c r="AW116" s="7" t="inlineStr">
        <is>
          <t>S:2 L:0 N:4 P:1 A:2</t>
        </is>
      </c>
    </row>
    <row r="117">
      <c r="A117" s="10" t="inlineStr">
        <is>
          <t>SEO &amp; GEO Summit 2026</t>
        </is>
      </c>
      <c r="B117" s="10" t="inlineStr">
        <is>
          <t>Elliott Bobiet / Alexandre Machado / Mikaël Priol</t>
        </is>
      </c>
      <c r="C117" s="10" t="inlineStr">
        <is>
          <t>2026-10-14</t>
        </is>
      </c>
      <c r="D117" s="10" t="inlineStr">
        <is>
          <t>2026-10-15</t>
        </is>
      </c>
      <c r="E117" s="10" t="inlineStr"/>
      <c r="F117" s="10" t="inlineStr">
        <is>
          <t>non identifié publiquement</t>
        </is>
      </c>
      <c r="G117" s="10" t="inlineStr">
        <is>
          <t>Disney Hotel New York - The Art of Marvel, Disneyland Paris</t>
        </is>
      </c>
      <c r="H117" s="10" t="inlineStr">
        <is>
          <t>Chessy</t>
        </is>
      </c>
      <c r="I117" s="10" t="inlineStr">
        <is>
          <t>77</t>
        </is>
      </c>
      <c r="J117" s="10" t="inlineStr">
        <is>
          <t>présentiel</t>
        </is>
      </c>
      <c r="K117" s="11" t="inlineStr">
        <is>
          <t>SEO &amp; GEO Summit 2026 : 2 jours de conférences à Disneyland Paris. Stratégies SEO, IA Overviews, acquisition digitale avec 25+ experts.</t>
        </is>
      </c>
      <c r="L117" s="11" t="inlineStr">
        <is>
          <t>non identifié publiquement</t>
        </is>
      </c>
      <c r="M117" s="10" t="inlineStr">
        <is>
          <t>Numerique, informatique, technologies</t>
        </is>
      </c>
      <c r="N117" s="10" t="inlineStr">
        <is>
          <t>SEO &amp; GEO Summit 2026 - SEO &amp; GEO Summit 2026 : 2 jours de conférences à Disneyland Paris. Stratégies SEO, IA Overviews, acquisition d</t>
        </is>
      </c>
      <c r="O117" s="10" t="inlineStr">
        <is>
          <t>non identifié publiquement</t>
        </is>
      </c>
      <c r="P117" s="10" t="inlineStr"/>
      <c r="Q117" s="11" t="inlineStr"/>
      <c r="R117" s="10" t="inlineStr">
        <is>
          <t>non identifié publiquement</t>
        </is>
      </c>
      <c r="S117" s="10" t="inlineStr">
        <is>
          <t>non</t>
        </is>
      </c>
      <c r="T117" s="11" t="inlineStr"/>
      <c r="U117" s="10" t="inlineStr">
        <is>
          <t>non identifié publiquement</t>
        </is>
      </c>
      <c r="V117" s="10" t="inlineStr">
        <is>
          <t>https://www.agenda-tech.com/events/seo-geo-summit-paris-2026</t>
        </is>
      </c>
      <c r="W117" s="10" t="inlineStr">
        <is>
          <t>2026-09-15</t>
        </is>
      </c>
      <c r="X117" s="11" t="inlineStr">
        <is>
          <t>Identifie via l'agregateur specialise Agenda Tech (donnees structurees schema.org publiees par l'organisateur).</t>
        </is>
      </c>
      <c r="Y117" s="7" t="inlineStr">
        <is>
          <t>4</t>
        </is>
      </c>
      <c r="Z117" s="7" t="inlineStr">
        <is>
          <t>Tech / IT / Logiciels / Télécom</t>
        </is>
      </c>
      <c r="AA117" s="7" t="inlineStr">
        <is>
          <t>0</t>
        </is>
      </c>
      <c r="AB117" s="7" t="inlineStr"/>
      <c r="AC117" s="7" t="inlineStr">
        <is>
          <t>7</t>
        </is>
      </c>
      <c r="AD117" s="7" t="inlineStr"/>
      <c r="AE117" s="7" t="inlineStr">
        <is>
          <t>0</t>
        </is>
      </c>
      <c r="AF117" s="7" t="inlineStr">
        <is>
          <t>Générique / Multi-éditeurs / Sans dominante</t>
        </is>
      </c>
      <c r="AG117" s="7" t="inlineStr">
        <is>
          <t>déduit</t>
        </is>
      </c>
      <c r="AH117" s="12" t="inlineStr">
        <is>
          <t>Deduit du secteur (axe 1)</t>
        </is>
      </c>
      <c r="AI117" s="7" t="inlineStr">
        <is>
          <t>4</t>
        </is>
      </c>
      <c r="AJ117" s="7" t="inlineStr">
        <is>
          <t>121-400</t>
        </is>
      </c>
      <c r="AK117" s="8" t="inlineStr">
        <is>
          <t>estimé</t>
        </is>
      </c>
      <c r="AL117" s="7" t="inlineStr">
        <is>
          <t>estimation : 150 a 500 participants</t>
        </is>
      </c>
      <c r="AM117" s="11" t="inlineStr">
        <is>
          <t>Modele de format (sommet de dirigeants sur invitation), fourchette 150-500, plafonnee par la capacite du lieu (Disney Hotel New York - The Art of Marve ~ 600)</t>
        </is>
      </c>
      <c r="AN117" s="7" t="inlineStr">
        <is>
          <t>moyenne</t>
        </is>
      </c>
      <c r="AO117" s="7" t="inlineStr">
        <is>
          <t>7</t>
        </is>
      </c>
      <c r="AP117" s="7" t="inlineStr">
        <is>
          <t>Experts / Advisors / Associations professionnelles</t>
        </is>
      </c>
      <c r="AQ117" s="7" t="inlineStr">
        <is>
          <t>constaté</t>
        </is>
      </c>
      <c r="AR117" s="12" t="inlineStr"/>
      <c r="AS117" s="7" t="inlineStr">
        <is>
          <t>2</t>
        </is>
      </c>
      <c r="AT117" s="7" t="inlineStr">
        <is>
          <t>Moyen</t>
        </is>
      </c>
      <c r="AU117" s="8" t="inlineStr">
        <is>
          <t>estimé</t>
        </is>
      </c>
      <c r="AV117" s="12" t="inlineStr">
        <is>
          <t>Tarif payant publie par Agenda Tech</t>
        </is>
      </c>
      <c r="AW117" s="7" t="inlineStr">
        <is>
          <t>S:4 L:0 N:4 P:7 A:2</t>
        </is>
      </c>
    </row>
    <row r="118">
      <c r="A118" s="10" t="inlineStr">
        <is>
          <t>Snowflake World Tour Paris 2026</t>
        </is>
      </c>
      <c r="B118" s="10" t="inlineStr">
        <is>
          <t>Snowflake</t>
        </is>
      </c>
      <c r="C118" s="10" t="inlineStr">
        <is>
          <t>2026-10-14</t>
        </is>
      </c>
      <c r="D118" s="10" t="inlineStr"/>
      <c r="E118" s="10" t="inlineStr"/>
      <c r="F118" s="10" t="inlineStr">
        <is>
          <t>non identifié publiquement</t>
        </is>
      </c>
      <c r="G118" s="10" t="inlineStr">
        <is>
          <t>Palais des Congres d'Issy</t>
        </is>
      </c>
      <c r="H118" s="10" t="inlineStr">
        <is>
          <t>Issy-les-Moulineaux</t>
        </is>
      </c>
      <c r="I118" s="10" t="inlineStr">
        <is>
          <t>92</t>
        </is>
      </c>
      <c r="J118" s="10" t="inlineStr">
        <is>
          <t>présentiel</t>
        </is>
      </c>
      <c r="K118" s="11" t="inlineStr">
        <is>
          <t>Découvrez la modernisation data et cloud-native au Snowflake World Tour Paris 2026. Architecture fluide, IA et analyse pour DSI et CTO.</t>
        </is>
      </c>
      <c r="L118" s="11" t="inlineStr">
        <is>
          <t>non identifié publiquement</t>
        </is>
      </c>
      <c r="M118" s="10" t="inlineStr">
        <is>
          <t>Numerique, informatique, technologies</t>
        </is>
      </c>
      <c r="N118" s="10" t="inlineStr">
        <is>
          <t>Snowflake World Tour Paris 2026 - Découvrez la modernisation data et cloud-native au Snowflake World Tour Paris 2026. Architecture fluide, IA et</t>
        </is>
      </c>
      <c r="O118" s="10" t="inlineStr">
        <is>
          <t>non identifié publiquement</t>
        </is>
      </c>
      <c r="P118" s="10" t="inlineStr"/>
      <c r="Q118" s="11" t="inlineStr"/>
      <c r="R118" s="10" t="inlineStr">
        <is>
          <t>non identifié publiquement</t>
        </is>
      </c>
      <c r="S118" s="10" t="inlineStr">
        <is>
          <t>non</t>
        </is>
      </c>
      <c r="T118" s="11" t="inlineStr"/>
      <c r="U118" s="10" t="inlineStr">
        <is>
          <t>non identifié publiquement</t>
        </is>
      </c>
      <c r="V118" s="10" t="inlineStr">
        <is>
          <t>https://www.agenda-tech.com/events/snowflake-world-tour-paris-2026</t>
        </is>
      </c>
      <c r="W118" s="10" t="inlineStr">
        <is>
          <t>2026-09-15</t>
        </is>
      </c>
      <c r="X118" s="11" t="inlineStr">
        <is>
          <t>Identifie via l'agregateur specialise Agenda Tech (donnees structurees schema.org publiees par l'organisateur).</t>
        </is>
      </c>
      <c r="Y118" s="7" t="inlineStr">
        <is>
          <t>4</t>
        </is>
      </c>
      <c r="Z118" s="7" t="inlineStr">
        <is>
          <t>Tech / IT / Logiciels / Télécom</t>
        </is>
      </c>
      <c r="AA118" s="7" t="inlineStr">
        <is>
          <t>9</t>
        </is>
      </c>
      <c r="AB118" s="7" t="inlineStr"/>
      <c r="AC118" s="7" t="inlineStr">
        <is>
          <t>1</t>
        </is>
      </c>
      <c r="AD118" s="7" t="inlineStr"/>
      <c r="AE118" s="7" t="inlineStr">
        <is>
          <t>9</t>
        </is>
      </c>
      <c r="AF118" s="7" t="inlineStr">
        <is>
          <t>Data / BI / Analytics</t>
        </is>
      </c>
      <c r="AG118" s="7" t="inlineStr">
        <is>
          <t>constaté</t>
        </is>
      </c>
      <c r="AH118" s="12" t="inlineStr"/>
      <c r="AI118" s="7" t="inlineStr">
        <is>
          <t>5</t>
        </is>
      </c>
      <c r="AJ118" s="7" t="inlineStr">
        <is>
          <t>401-2000</t>
        </is>
      </c>
      <c r="AK118" s="8" t="inlineStr">
        <is>
          <t>estimé</t>
        </is>
      </c>
      <c r="AL118" s="7" t="inlineStr">
        <is>
          <t>estimation : 300 a 1200 participants</t>
        </is>
      </c>
      <c r="AM118" s="11" t="inlineStr">
        <is>
          <t>Modele de format (convention client d'editeur ou d'integrateur), fourchette 300-1200, plafonnee par la capacite du lieu (Palais des Congres d'Issy ~ 1200)</t>
        </is>
      </c>
      <c r="AN118" s="7" t="inlineStr">
        <is>
          <t>moyenne</t>
        </is>
      </c>
      <c r="AO118" s="7" t="inlineStr">
        <is>
          <t>1</t>
        </is>
      </c>
      <c r="AP118" s="7" t="inlineStr">
        <is>
          <t>Décideurs PME/ETI</t>
        </is>
      </c>
      <c r="AQ118" s="7" t="inlineStr">
        <is>
          <t>constaté</t>
        </is>
      </c>
      <c r="AR118" s="12" t="inlineStr"/>
      <c r="AS118" s="7" t="inlineStr">
        <is>
          <t>2</t>
        </is>
      </c>
      <c r="AT118" s="7" t="inlineStr">
        <is>
          <t>Moyen</t>
        </is>
      </c>
      <c r="AU118" s="8" t="inlineStr">
        <is>
          <t>estimé</t>
        </is>
      </c>
      <c r="AV118" s="12" t="inlineStr">
        <is>
          <t>Billetterie en vente libre (mention 'Voir tarifs sur le site' chez Agenda Tech), sans gratuite confirmee</t>
        </is>
      </c>
      <c r="AW118" s="7" t="inlineStr">
        <is>
          <t>S:4 L:9 N:5 P:1 A:2</t>
        </is>
      </c>
    </row>
    <row r="119">
      <c r="A119" s="10" t="inlineStr">
        <is>
          <t>Solar &amp; Storage Live Paris 2026</t>
        </is>
      </c>
      <c r="B119" s="10" t="inlineStr">
        <is>
          <t>Terrapinn</t>
        </is>
      </c>
      <c r="C119" s="10" t="inlineStr">
        <is>
          <t>2026-10-14</t>
        </is>
      </c>
      <c r="D119" s="10" t="inlineStr">
        <is>
          <t>2026-10-15</t>
        </is>
      </c>
      <c r="E119" s="10" t="inlineStr"/>
      <c r="F119" s="10" t="inlineStr">
        <is>
          <t>annuel</t>
        </is>
      </c>
      <c r="G119" s="10" t="inlineStr">
        <is>
          <t>Paris Le Bourget - Parc des Expositions</t>
        </is>
      </c>
      <c r="H119" s="10" t="inlineStr">
        <is>
          <t>Le Bourget</t>
        </is>
      </c>
      <c r="I119" s="10" t="inlineStr">
        <is>
          <t>93</t>
        </is>
      </c>
      <c r="J119" s="10" t="inlineStr">
        <is>
          <t>présentiel</t>
        </is>
      </c>
      <c r="K119" s="11" t="inlineStr">
        <is>
          <t>Le salon dédié à l'énergie solaire et au stockage</t>
        </is>
      </c>
      <c r="L119" s="11" t="inlineStr">
        <is>
          <t>Visitorat : réservé aux professionnels (fiche CCI Paris Ile-de-France)</t>
        </is>
      </c>
      <c r="M119" s="10" t="inlineStr">
        <is>
          <t>Environnement et énergie</t>
        </is>
      </c>
      <c r="N119" s="10" t="inlineStr">
        <is>
          <t>non identifié publiquement</t>
        </is>
      </c>
      <c r="O119" s="10" t="inlineStr">
        <is>
          <t>non identifié publiquement</t>
        </is>
      </c>
      <c r="P119" s="10" t="inlineStr"/>
      <c r="Q119" s="11" t="inlineStr"/>
      <c r="R119" s="10" t="inlineStr">
        <is>
          <t>inscription libre</t>
        </is>
      </c>
      <c r="S119" s="10" t="inlineStr">
        <is>
          <t>oui</t>
        </is>
      </c>
      <c r="T119" s="11" t="inlineStr">
        <is>
          <t>Salon reserve aux professionnels du solaire et du stockage d'energie</t>
        </is>
      </c>
      <c r="U119" s="10" t="inlineStr">
        <is>
          <t>non identifié publiquement</t>
        </is>
      </c>
      <c r="V119" s="10" t="inlineStr">
        <is>
          <t>https://www.cci-paris-idf.fr/fr/evenements-salons/salons-foires-paris-ile-de-france/solar-storage-live</t>
        </is>
      </c>
      <c r="W119" s="10" t="inlineStr">
        <is>
          <t>2026-09-15</t>
        </is>
      </c>
      <c r="X119" s="11" t="inlineStr"/>
      <c r="Y119" s="7" t="inlineStr">
        <is>
          <t>11</t>
        </is>
      </c>
      <c r="Z119" s="7" t="inlineStr">
        <is>
          <t>Énergie / Environnement / Utilities</t>
        </is>
      </c>
      <c r="AA119" s="7" t="inlineStr"/>
      <c r="AB119" s="7" t="inlineStr"/>
      <c r="AC119" s="7" t="inlineStr"/>
      <c r="AD119" s="7" t="inlineStr">
        <is>
          <t>2</t>
        </is>
      </c>
      <c r="AE119" s="7" t="inlineStr">
        <is>
          <t>0</t>
        </is>
      </c>
      <c r="AF119" s="7" t="inlineStr">
        <is>
          <t>Générique / Multi-éditeurs / Sans dominante</t>
        </is>
      </c>
      <c r="AG119" s="8" t="inlineStr">
        <is>
          <t>estimé</t>
        </is>
      </c>
      <c r="AH119" s="12" t="inlineStr">
        <is>
          <t>Aucune dimension logicielle dans le positionnement de l'organisateur : rattache au 0 (sans dominante) plutot que laisse vide, conformement a la demande de non-vide</t>
        </is>
      </c>
      <c r="AI119" s="7" t="inlineStr">
        <is>
          <t>6</t>
        </is>
      </c>
      <c r="AJ119" s="7" t="inlineStr">
        <is>
          <t>&gt;2000</t>
        </is>
      </c>
      <c r="AK119" s="8" t="inlineStr">
        <is>
          <t>estimé</t>
        </is>
      </c>
      <c r="AL119" s="7" t="inlineStr">
        <is>
          <t>estimation : 3000 a 30000 participants</t>
        </is>
      </c>
      <c r="AM119" s="11" t="inlineStr">
        <is>
          <t>Modele de format (salon professionnel en parc d'exposition), fourchette 3000-30000, plafonnee par la capacite du lieu (Paris Le Bourget - Parc des Expositions ~ 200000)</t>
        </is>
      </c>
      <c r="AN119" s="7" t="inlineStr">
        <is>
          <t>moyenne</t>
        </is>
      </c>
      <c r="AO119" s="7" t="inlineStr">
        <is>
          <t>1</t>
        </is>
      </c>
      <c r="AP119" s="7" t="inlineStr">
        <is>
          <t>Décideurs PME/ETI</t>
        </is>
      </c>
      <c r="AQ119" s="8" t="inlineStr">
        <is>
          <t>estimé</t>
        </is>
      </c>
      <c r="AR119" s="12" t="inlineStr">
        <is>
          <t>Par defaut, evenement B2B francilien : decideurs PME/ETI</t>
        </is>
      </c>
      <c r="AS119" s="7" t="inlineStr">
        <is>
          <t>2</t>
        </is>
      </c>
      <c r="AT119" s="7" t="inlineStr">
        <is>
          <t>Moyen</t>
        </is>
      </c>
      <c r="AU119" s="7" t="inlineStr">
        <is>
          <t>constaté</t>
        </is>
      </c>
      <c r="AV119" s="12" t="inlineStr"/>
      <c r="AW119" s="7" t="inlineStr">
        <is>
          <t>S:11 L:0 N:6 P:1 A:2</t>
        </is>
      </c>
    </row>
    <row r="120">
      <c r="A120" s="10" t="inlineStr">
        <is>
          <t>TechSolutions 2026 (ex-Salons Solutions + Forum Cybersecurite-Cloud-IA + Mobility for Business)</t>
        </is>
      </c>
      <c r="B120" s="10" t="inlineStr">
        <is>
          <t>Infopromotions / Groupe Solutions</t>
        </is>
      </c>
      <c r="C120" s="10" t="inlineStr">
        <is>
          <t>2026-10-14</t>
        </is>
      </c>
      <c r="D120" s="10" t="inlineStr">
        <is>
          <t>2026-10-15</t>
        </is>
      </c>
      <c r="E120" s="10" t="inlineStr"/>
      <c r="F120" s="10" t="inlineStr">
        <is>
          <t>annuel</t>
        </is>
      </c>
      <c r="G120" s="10" t="inlineStr">
        <is>
          <t>Paris Expo Porte de Versailles</t>
        </is>
      </c>
      <c r="H120" s="10" t="inlineStr">
        <is>
          <t>Paris 15e</t>
        </is>
      </c>
      <c r="I120" s="10" t="inlineStr">
        <is>
          <t>75</t>
        </is>
      </c>
      <c r="J120" s="10" t="inlineStr">
        <is>
          <t>présentiel</t>
        </is>
      </c>
      <c r="K120" s="11" t="inlineStr">
        <is>
          <t>Rendez-vous des applications IT pour l'entreprise : ERP, CRM, BI/Data, dematerialisation, e-procurement, SIRH, IA, cybersecurite.</t>
        </is>
      </c>
      <c r="L120" s="11" t="inlineStr">
        <is>
          <t>DSI, DAF, CPO, Head of Sales, DRH, VP Marketing et dirigeants</t>
        </is>
      </c>
      <c r="M120" s="10" t="inlineStr">
        <is>
          <t>Informatique, télécommunications, audiovisuel et multimédia</t>
        </is>
      </c>
      <c r="N120" s="10" t="inlineStr">
        <is>
          <t>ERP, CRM, BI/Data, e-procurement, GED/dematerialisation, SIRH, IA, cybersecurite, fintech, mobilite</t>
        </is>
      </c>
      <c r="O120" s="10" t="inlineStr">
        <is>
          <t>150+ exposants, 100 conferences/ateliers/tables rondes, 500 rendez-vous projets ; environ 6 000 decideurs IT et metier</t>
        </is>
      </c>
      <c r="P120" s="10" t="inlineStr">
        <is>
          <t>ESTIME</t>
        </is>
      </c>
      <c r="Q120" s="11" t="inlineStr">
        <is>
          <t>Exposants et formats confirmes sur le site officiel ; le chiffre d'environ 6 000 visiteurs provient de sources tierces, le site affichant '0 + Visiteurs professionnels' au 15/09/2026</t>
        </is>
      </c>
      <c r="R120" s="10" t="inlineStr">
        <is>
          <t>inscription libre</t>
        </is>
      </c>
      <c r="S120" s="10" t="inlineStr">
        <is>
          <t>non</t>
        </is>
      </c>
      <c r="T120" s="11" t="inlineStr"/>
      <c r="U120" s="10" t="inlineStr">
        <is>
          <t>non identifié publiquement</t>
        </is>
      </c>
      <c r="V120" s="10" t="inlineStr">
        <is>
          <t>https://salons-solutions.fr/</t>
        </is>
      </c>
      <c r="W120" s="10" t="inlineStr">
        <is>
          <t>2026-09-15</t>
        </is>
      </c>
      <c r="X120" s="11" t="inlineStr">
        <is>
          <t>TRES FORT ALIGNEMENT ICP NOEZYA : audience DSI/DAF/DRH de PME-ETI, thematique ERP/CRM/IA. Salon renomme TechSolutions en 2026. Badge visiteur en ligne.</t>
        </is>
      </c>
      <c r="Y120" s="7" t="inlineStr">
        <is>
          <t>16|4</t>
        </is>
      </c>
      <c r="Z120" s="7" t="inlineStr">
        <is>
          <t>IA / Intelligence artificielle + Tech / IT / Logiciels / Télécom</t>
        </is>
      </c>
      <c r="AA120" s="7" t="inlineStr">
        <is>
          <t>0</t>
        </is>
      </c>
      <c r="AB120" s="7" t="inlineStr">
        <is>
          <t>6</t>
        </is>
      </c>
      <c r="AC120" s="7" t="inlineStr">
        <is>
          <t>1</t>
        </is>
      </c>
      <c r="AD120" s="7" t="inlineStr">
        <is>
          <t>2</t>
        </is>
      </c>
      <c r="AE120" s="7" t="inlineStr">
        <is>
          <t>0</t>
        </is>
      </c>
      <c r="AF120" s="7" t="inlineStr">
        <is>
          <t>Générique / Multi-éditeurs / Sans dominante</t>
        </is>
      </c>
      <c r="AG120" s="7" t="inlineStr">
        <is>
          <t>constaté</t>
        </is>
      </c>
      <c r="AH120" s="12" t="inlineStr"/>
      <c r="AI120" s="7" t="inlineStr">
        <is>
          <t>6</t>
        </is>
      </c>
      <c r="AJ120" s="7" t="inlineStr">
        <is>
          <t>&gt;2000</t>
        </is>
      </c>
      <c r="AK120" s="7" t="inlineStr">
        <is>
          <t>constaté</t>
        </is>
      </c>
      <c r="AL120" s="7" t="inlineStr">
        <is>
          <t>150+ exposants, 100 conferences/ateliers/tables rondes, 500 rendez-vous projets ; environ 6 000 decideurs IT et metier</t>
        </is>
      </c>
      <c r="AM120" s="11" t="inlineStr">
        <is>
          <t>Chiffre publie par l'organisateur (colonne taille_source)</t>
        </is>
      </c>
      <c r="AN120" s="7" t="inlineStr">
        <is>
          <t>haute</t>
        </is>
      </c>
      <c r="AO120" s="7" t="inlineStr">
        <is>
          <t>1</t>
        </is>
      </c>
      <c r="AP120" s="7" t="inlineStr">
        <is>
          <t>Décideurs PME/ETI</t>
        </is>
      </c>
      <c r="AQ120" s="7" t="inlineStr">
        <is>
          <t>constaté</t>
        </is>
      </c>
      <c r="AR120" s="12" t="inlineStr"/>
      <c r="AS120" s="7" t="inlineStr">
        <is>
          <t>2</t>
        </is>
      </c>
      <c r="AT120" s="7" t="inlineStr">
        <is>
          <t>Moyen</t>
        </is>
      </c>
      <c r="AU120" s="7" t="inlineStr">
        <is>
          <t>constaté</t>
        </is>
      </c>
      <c r="AV120" s="12" t="inlineStr"/>
      <c r="AW120" s="7" t="inlineStr">
        <is>
          <t>S:16|4 L:0 N:6 P:1 A:2</t>
        </is>
      </c>
    </row>
    <row r="121">
      <c r="A121" s="10" t="inlineStr">
        <is>
          <t>WaterTech 2026</t>
        </is>
      </c>
      <c r="B121" s="10" t="inlineStr">
        <is>
          <t>non identifié publiquement</t>
        </is>
      </c>
      <c r="C121" s="10" t="inlineStr">
        <is>
          <t>2026-10-14</t>
        </is>
      </c>
      <c r="D121" s="10" t="inlineStr">
        <is>
          <t>2026-10-15</t>
        </is>
      </c>
      <c r="E121" s="10" t="inlineStr"/>
      <c r="F121" s="10" t="inlineStr">
        <is>
          <t>non identifié publiquement</t>
        </is>
      </c>
      <c r="G121" s="10" t="inlineStr">
        <is>
          <t>Paris Expo Porte de Versailles</t>
        </is>
      </c>
      <c r="H121" s="10" t="inlineStr">
        <is>
          <t>Paris 15e</t>
        </is>
      </c>
      <c r="I121" s="10" t="inlineStr">
        <is>
          <t>75</t>
        </is>
      </c>
      <c r="J121" s="10" t="inlineStr">
        <is>
          <t>présentiel</t>
        </is>
      </c>
      <c r="K121" s="11" t="inlineStr">
        <is>
          <t>Le Salon des technologies &amp; des équipements pour la gestion et la préservation des ressources en eau</t>
        </is>
      </c>
      <c r="L121" s="11" t="inlineStr">
        <is>
          <t>Visitorat : réservé aux professionnels (fiche CCI Paris Ile-de-France)</t>
        </is>
      </c>
      <c r="M121" s="10" t="inlineStr">
        <is>
          <t>Environnement et énergie</t>
        </is>
      </c>
      <c r="N121" s="10" t="inlineStr">
        <is>
          <t>non identifié publiquement</t>
        </is>
      </c>
      <c r="O121" s="10" t="inlineStr">
        <is>
          <t>non identifié publiquement</t>
        </is>
      </c>
      <c r="P121" s="10" t="inlineStr"/>
      <c r="Q121" s="11" t="inlineStr"/>
      <c r="R121" s="10" t="inlineStr">
        <is>
          <t>inscription libre</t>
        </is>
      </c>
      <c r="S121" s="10" t="inlineStr">
        <is>
          <t>oui</t>
        </is>
      </c>
      <c r="T121" s="11" t="inlineStr">
        <is>
          <t>Salon reserve aux professionnels de la gestion de l'eau</t>
        </is>
      </c>
      <c r="U121" s="10" t="inlineStr">
        <is>
          <t>non identifié publiquement</t>
        </is>
      </c>
      <c r="V121" s="10" t="inlineStr">
        <is>
          <t>https://www.cci-paris-idf.fr/fr/evenements-salons/salons-foires-paris-ile-de-france/watertech</t>
        </is>
      </c>
      <c r="W121" s="10" t="inlineStr">
        <is>
          <t>2026-09-15</t>
        </is>
      </c>
      <c r="X121" s="11" t="inlineStr">
        <is>
          <t>Co-localise avec Intelligent Building Systems (memes dates, meme site, meme organisateur apparent : ibs-event.com).</t>
        </is>
      </c>
      <c r="Y121" s="7" t="inlineStr">
        <is>
          <t>11</t>
        </is>
      </c>
      <c r="Z121" s="7" t="inlineStr">
        <is>
          <t>Énergie / Environnement / Utilities</t>
        </is>
      </c>
      <c r="AA121" s="7" t="inlineStr"/>
      <c r="AB121" s="7" t="inlineStr"/>
      <c r="AC121" s="7" t="inlineStr"/>
      <c r="AD121" s="7" t="inlineStr">
        <is>
          <t>2</t>
        </is>
      </c>
      <c r="AE121" s="7" t="inlineStr">
        <is>
          <t>0</t>
        </is>
      </c>
      <c r="AF121" s="7" t="inlineStr">
        <is>
          <t>Générique / Multi-éditeurs / Sans dominante</t>
        </is>
      </c>
      <c r="AG121" s="8" t="inlineStr">
        <is>
          <t>estimé</t>
        </is>
      </c>
      <c r="AH121" s="12" t="inlineStr">
        <is>
          <t>Aucune dimension logicielle dans le positionnement de l'organisateur : rattache au 0 (sans dominante) plutot que laisse vide, conformement a la demande de non-vide</t>
        </is>
      </c>
      <c r="AI121" s="7" t="inlineStr">
        <is>
          <t>6</t>
        </is>
      </c>
      <c r="AJ121" s="7" t="inlineStr">
        <is>
          <t>&gt;2000</t>
        </is>
      </c>
      <c r="AK121" s="8" t="inlineStr">
        <is>
          <t>estimé</t>
        </is>
      </c>
      <c r="AL121" s="7" t="inlineStr">
        <is>
          <t>estimation : 3000 a 30000 participants</t>
        </is>
      </c>
      <c r="AM121" s="11" t="inlineStr">
        <is>
          <t>Modele de format (salon professionnel en parc d'exposition), fourchette 3000-30000, plafonnee par la capacite du lieu (Paris Expo Porte de Versailles ~ 200000)</t>
        </is>
      </c>
      <c r="AN121" s="7" t="inlineStr">
        <is>
          <t>moyenne</t>
        </is>
      </c>
      <c r="AO121" s="7" t="inlineStr">
        <is>
          <t>1</t>
        </is>
      </c>
      <c r="AP121" s="7" t="inlineStr">
        <is>
          <t>Décideurs PME/ETI</t>
        </is>
      </c>
      <c r="AQ121" s="8" t="inlineStr">
        <is>
          <t>estimé</t>
        </is>
      </c>
      <c r="AR121" s="12" t="inlineStr">
        <is>
          <t>Par defaut, evenement B2B francilien : decideurs PME/ETI</t>
        </is>
      </c>
      <c r="AS121" s="7" t="inlineStr">
        <is>
          <t>2</t>
        </is>
      </c>
      <c r="AT121" s="7" t="inlineStr">
        <is>
          <t>Moyen</t>
        </is>
      </c>
      <c r="AU121" s="7" t="inlineStr">
        <is>
          <t>constaté</t>
        </is>
      </c>
      <c r="AV121" s="12" t="inlineStr"/>
      <c r="AW121" s="7" t="inlineStr">
        <is>
          <t>S:11 L:0 N:6 P:1 A:2</t>
        </is>
      </c>
    </row>
    <row r="122">
      <c r="A122" s="10" t="inlineStr">
        <is>
          <t>21es Journees Interactives de Realites Therapeutiques</t>
        </is>
      </c>
      <c r="B122" s="10" t="inlineStr">
        <is>
          <t>non identifié publiquement</t>
        </is>
      </c>
      <c r="C122" s="10" t="inlineStr">
        <is>
          <t>2026-10-15</t>
        </is>
      </c>
      <c r="D122" s="10" t="inlineStr">
        <is>
          <t>2026-10-16</t>
        </is>
      </c>
      <c r="E122" s="10" t="inlineStr"/>
      <c r="F122" s="10" t="inlineStr">
        <is>
          <t>annuel</t>
        </is>
      </c>
      <c r="G122" s="10" t="inlineStr">
        <is>
          <t>CNIT Forest - Paris La Defense</t>
        </is>
      </c>
      <c r="H122" s="10" t="inlineStr">
        <is>
          <t>Puteaux</t>
        </is>
      </c>
      <c r="I122" s="10" t="inlineStr">
        <is>
          <t>92</t>
        </is>
      </c>
      <c r="J122" s="10" t="inlineStr">
        <is>
          <t>présentiel</t>
        </is>
      </c>
      <c r="K122" s="11" t="inlineStr">
        <is>
          <t>Journees de formation medicale continue.</t>
        </is>
      </c>
      <c r="L122" s="11" t="inlineStr">
        <is>
          <t>non identifié publiquement</t>
        </is>
      </c>
      <c r="M122" s="10" t="inlineStr">
        <is>
          <t>Sante, formation medicale</t>
        </is>
      </c>
      <c r="N122" s="10" t="inlineStr">
        <is>
          <t>non identifié publiquement</t>
        </is>
      </c>
      <c r="O122" s="10" t="inlineStr">
        <is>
          <t>non identifié publiquement</t>
        </is>
      </c>
      <c r="P122" s="10" t="inlineStr"/>
      <c r="Q122" s="11" t="inlineStr"/>
      <c r="R122" s="10" t="inlineStr">
        <is>
          <t>non identifié publiquement</t>
        </is>
      </c>
      <c r="S122" s="10" t="inlineStr">
        <is>
          <t>oui</t>
        </is>
      </c>
      <c r="T122" s="11" t="inlineStr">
        <is>
          <t>Evenement oriente professionnels de sante</t>
        </is>
      </c>
      <c r="U122" s="10" t="inlineStr">
        <is>
          <t>non identifié publiquement</t>
        </is>
      </c>
      <c r="V122" s="10" t="inlineStr">
        <is>
          <t>https://www.viparis.com/actualites-evenements/evenements/21e-journees-interactives-de-realites-therapeutiques-en-dermatologie</t>
        </is>
      </c>
      <c r="W122" s="10" t="inlineStr">
        <is>
          <t>2026-09-15</t>
        </is>
      </c>
      <c r="X122" s="11" t="inlineStr">
        <is>
          <t>Identifie via l'agenda du lieu (Viparis). Intitule complet du lien : journees interactives de realites therapeutiques en dermatologie.</t>
        </is>
      </c>
      <c r="Y122" s="7" t="inlineStr">
        <is>
          <t>7</t>
        </is>
      </c>
      <c r="Z122" s="7" t="inlineStr">
        <is>
          <t>Santé / Pharma / Biotech / Medtech</t>
        </is>
      </c>
      <c r="AA122" s="7" t="inlineStr"/>
      <c r="AB122" s="7" t="inlineStr"/>
      <c r="AC122" s="7" t="inlineStr"/>
      <c r="AD122" s="7" t="inlineStr"/>
      <c r="AE122" s="7" t="inlineStr">
        <is>
          <t>0</t>
        </is>
      </c>
      <c r="AF122" s="7" t="inlineStr">
        <is>
          <t>Générique / Multi-éditeurs / Sans dominante</t>
        </is>
      </c>
      <c r="AG122" s="8" t="inlineStr">
        <is>
          <t>estimé</t>
        </is>
      </c>
      <c r="AH122" s="12" t="inlineStr">
        <is>
          <t>Aucune dimension logicielle dans le positionnement de l'organisateur : rattache au 0 (sans dominante) plutot que laisse vide, conformement a la demande de non-vide</t>
        </is>
      </c>
      <c r="AI122" s="7" t="inlineStr">
        <is>
          <t>5</t>
        </is>
      </c>
      <c r="AJ122" s="7" t="inlineStr">
        <is>
          <t>401-2000</t>
        </is>
      </c>
      <c r="AK122" s="8" t="inlineStr">
        <is>
          <t>estimé</t>
        </is>
      </c>
      <c r="AL122" s="7" t="inlineStr">
        <is>
          <t>estimation : 1000 a 2500 participants</t>
        </is>
      </c>
      <c r="AM122" s="11" t="inlineStr">
        <is>
          <t>Modele de format (congres de societe savante), fourchette 1000-2500, plafonnee par la capacite du lieu (CNIT Forest - Paris La Defense ~ 2500)</t>
        </is>
      </c>
      <c r="AN122" s="7" t="inlineStr">
        <is>
          <t>moyenne</t>
        </is>
      </c>
      <c r="AO122" s="7" t="inlineStr">
        <is>
          <t>7</t>
        </is>
      </c>
      <c r="AP122" s="7" t="inlineStr">
        <is>
          <t>Experts / Advisors / Associations professionnelles</t>
        </is>
      </c>
      <c r="AQ122" s="8" t="inlineStr">
        <is>
          <t>estimé</t>
        </is>
      </c>
      <c r="AR122" s="12" t="inlineStr">
        <is>
          <t>Congres de societe savante ou d'association professionnelle du secteur sante</t>
        </is>
      </c>
      <c r="AS122" s="7" t="inlineStr">
        <is>
          <t>2</t>
        </is>
      </c>
      <c r="AT122" s="7" t="inlineStr">
        <is>
          <t>Moyen</t>
        </is>
      </c>
      <c r="AU122" s="8" t="inlineStr">
        <is>
          <t>estimé</t>
        </is>
      </c>
      <c r="AV122" s="12" t="inlineStr">
        <is>
          <t>Par defaut : aucun filtre par un tiers identifie, acces presume en vente libre (niveau 2 conservateur, cf. iteration n1)</t>
        </is>
      </c>
      <c r="AW122" s="7" t="inlineStr">
        <is>
          <t>S:7 L:0 N:5 P:7 A:2</t>
        </is>
      </c>
    </row>
    <row r="123">
      <c r="A123" s="10" t="inlineStr">
        <is>
          <t>Absence du dirigeant : chaos ou continuite, le scenario qu'il faut preparer</t>
        </is>
      </c>
      <c r="B123" s="10" t="inlineStr">
        <is>
          <t>CCI Paris Ile-de-France</t>
        </is>
      </c>
      <c r="C123" s="10" t="inlineStr">
        <is>
          <t>2026-10-15</t>
        </is>
      </c>
      <c r="D123" s="10" t="inlineStr"/>
      <c r="E123" s="10" t="inlineStr"/>
      <c r="F123" s="10" t="inlineStr">
        <is>
          <t>non identifié publiquement</t>
        </is>
      </c>
      <c r="G123" s="10" t="inlineStr">
        <is>
          <t>CCI Hauts-de-Seine - Coeur Defense, Tour A, 2e etage</t>
        </is>
      </c>
      <c r="H123" s="10" t="inlineStr">
        <is>
          <t>Courbevoie (quartier Paris La Defense)</t>
        </is>
      </c>
      <c r="I123" s="10" t="inlineStr">
        <is>
          <t>92</t>
        </is>
      </c>
      <c r="J123" s="10" t="inlineStr">
        <is>
          <t>présentiel</t>
        </is>
      </c>
      <c r="K123" s="11" t="inlineStr">
        <is>
          <t>Conference sur la continuite d'activite en cas d'absence du dirigeant.</t>
        </is>
      </c>
      <c r="L123" s="11" t="inlineStr">
        <is>
          <t>dirigeants</t>
        </is>
      </c>
      <c r="M123" s="10" t="inlineStr">
        <is>
          <t>Gouvernance, continuite d'activite</t>
        </is>
      </c>
      <c r="N123" s="10" t="inlineStr">
        <is>
          <t>non identifié publiquement</t>
        </is>
      </c>
      <c r="O123" s="10" t="inlineStr">
        <is>
          <t>non identifié publiquement</t>
        </is>
      </c>
      <c r="P123" s="10" t="inlineStr"/>
      <c r="Q123" s="11" t="inlineStr"/>
      <c r="R123" s="10" t="inlineStr">
        <is>
          <t>inscription libre</t>
        </is>
      </c>
      <c r="S123" s="10" t="inlineStr">
        <is>
          <t>non</t>
        </is>
      </c>
      <c r="T123" s="11" t="inlineStr"/>
      <c r="U123" s="10" t="inlineStr">
        <is>
          <t>non identifié publiquement</t>
        </is>
      </c>
      <c r="V123" s="10" t="inlineStr">
        <is>
          <t>https://www.entreprises.cci-paris-idf.fr/evenements/absence-du-dirigeant-chaos-ou-continuite-le-scenario-quil-faut-preparer</t>
        </is>
      </c>
      <c r="W123" s="10" t="inlineStr">
        <is>
          <t>2026-09-15</t>
        </is>
      </c>
      <c r="X123" s="11" t="inlineStr"/>
      <c r="Y123" s="7" t="inlineStr">
        <is>
          <t>0</t>
        </is>
      </c>
      <c r="Z123" s="7" t="inlineStr">
        <is>
          <t>Générique / Transversal</t>
        </is>
      </c>
      <c r="AA123" s="7" t="inlineStr"/>
      <c r="AB123" s="7" t="inlineStr"/>
      <c r="AC123" s="7" t="inlineStr">
        <is>
          <t>1</t>
        </is>
      </c>
      <c r="AD123" s="7" t="inlineStr">
        <is>
          <t>2</t>
        </is>
      </c>
      <c r="AE123" s="7" t="inlineStr">
        <is>
          <t>0</t>
        </is>
      </c>
      <c r="AF123" s="7" t="inlineStr">
        <is>
          <t>Générique / Multi-éditeurs / Sans dominante</t>
        </is>
      </c>
      <c r="AG123" s="8" t="inlineStr">
        <is>
          <t>estimé</t>
        </is>
      </c>
      <c r="AH123" s="12" t="inlineStr">
        <is>
          <t>Aucune dimension logicielle dans le positionnement de l'organisateur : rattache au 0 (sans dominante) plutot que laisse vide, conformement a la demande de non-vide</t>
        </is>
      </c>
      <c r="AI123" s="7" t="inlineStr">
        <is>
          <t>3</t>
        </is>
      </c>
      <c r="AJ123" s="7" t="inlineStr">
        <is>
          <t>41-120</t>
        </is>
      </c>
      <c r="AK123" s="8" t="inlineStr">
        <is>
          <t>estimé</t>
        </is>
      </c>
      <c r="AL123" s="7" t="inlineStr">
        <is>
          <t>estimation : 120 a 120 participants</t>
        </is>
      </c>
      <c r="AM123" s="11" t="inlineStr">
        <is>
          <t>Modele de format (conference technique ou sectorielle), fourchette 120-120, plafonnee par la capacite du lieu (CCI Hauts-de-Seine - Coeur Defense, Tour ~ 120)</t>
        </is>
      </c>
      <c r="AN123" s="7" t="inlineStr">
        <is>
          <t>moyenne</t>
        </is>
      </c>
      <c r="AO123" s="7" t="inlineStr">
        <is>
          <t>1</t>
        </is>
      </c>
      <c r="AP123" s="7" t="inlineStr">
        <is>
          <t>Décideurs PME/ETI</t>
        </is>
      </c>
      <c r="AQ123" s="7" t="inlineStr">
        <is>
          <t>constaté</t>
        </is>
      </c>
      <c r="AR123" s="12" t="inlineStr"/>
      <c r="AS123" s="7" t="inlineStr">
        <is>
          <t>2</t>
        </is>
      </c>
      <c r="AT123" s="7" t="inlineStr">
        <is>
          <t>Moyen</t>
        </is>
      </c>
      <c r="AU123" s="7" t="inlineStr">
        <is>
          <t>constaté</t>
        </is>
      </c>
      <c r="AV123" s="12" t="inlineStr"/>
      <c r="AW123" s="7" t="inlineStr">
        <is>
          <t>S:0 L:0 N:3 P:1 A:2</t>
        </is>
      </c>
    </row>
    <row r="124">
      <c r="A124" s="10" t="inlineStr">
        <is>
          <t>Boost PME Codeveloppement Ouest Val-d'Oise</t>
        </is>
      </c>
      <c r="B124" s="10" t="inlineStr">
        <is>
          <t>CCI Paris Ile-de-France</t>
        </is>
      </c>
      <c r="C124" s="10" t="inlineStr">
        <is>
          <t>2026-10-15</t>
        </is>
      </c>
      <c r="D124" s="10" t="inlineStr">
        <is>
          <t>2027-11-25</t>
        </is>
      </c>
      <c r="E124" s="10" t="inlineStr"/>
      <c r="F124" s="10" t="inlineStr">
        <is>
          <t>non identifié publiquement</t>
        </is>
      </c>
      <c r="G124" s="10" t="inlineStr">
        <is>
          <t>CCI Val-d'Oise, 35 boulevard du Port</t>
        </is>
      </c>
      <c r="H124" s="10" t="inlineStr">
        <is>
          <t>Cergy</t>
        </is>
      </c>
      <c r="I124" s="10" t="inlineStr">
        <is>
          <t>95</t>
        </is>
      </c>
      <c r="J124" s="10" t="inlineStr">
        <is>
          <t>présentiel</t>
        </is>
      </c>
      <c r="K124" s="11" t="inlineStr">
        <is>
          <t>Programme de codeveloppement entre dirigeants de PME de l'ouest du Val-d'Oise.</t>
        </is>
      </c>
      <c r="L124" s="11" t="inlineStr">
        <is>
          <t>dirigeants de PME</t>
        </is>
      </c>
      <c r="M124" s="10" t="inlineStr">
        <is>
          <t>Tous secteurs</t>
        </is>
      </c>
      <c r="N124" s="10" t="inlineStr">
        <is>
          <t>non identifié publiquement</t>
        </is>
      </c>
      <c r="O124" s="10" t="inlineStr">
        <is>
          <t>non identifié publiquement</t>
        </is>
      </c>
      <c r="P124" s="10" t="inlineStr"/>
      <c r="Q124" s="11" t="inlineStr"/>
      <c r="R124" s="10" t="inlineStr">
        <is>
          <t>candidature</t>
        </is>
      </c>
      <c r="S124" s="10" t="inlineStr">
        <is>
          <t>non</t>
        </is>
      </c>
      <c r="T124" s="11" t="inlineStr"/>
      <c r="U124" s="10" t="inlineStr">
        <is>
          <t>non identifié publiquement</t>
        </is>
      </c>
      <c r="V124" s="10" t="inlineStr">
        <is>
          <t>https://www.entreprises.cci-paris-idf.fr/evenements/boost-pme-co-dev</t>
        </is>
      </c>
      <c r="W124" s="10" t="inlineStr">
        <is>
          <t>2026-09-15</t>
        </is>
      </c>
      <c r="X124" s="11" t="inlineStr">
        <is>
          <t>Dates annoncees du 15 octobre 2026 au 25 novembre 2027 : deborde largement la fenetre.</t>
        </is>
      </c>
      <c r="Y124" s="7" t="inlineStr">
        <is>
          <t>0</t>
        </is>
      </c>
      <c r="Z124" s="7" t="inlineStr">
        <is>
          <t>Générique / Transversal</t>
        </is>
      </c>
      <c r="AA124" s="7" t="inlineStr"/>
      <c r="AB124" s="7" t="inlineStr"/>
      <c r="AC124" s="7" t="inlineStr">
        <is>
          <t>1</t>
        </is>
      </c>
      <c r="AD124" s="7" t="inlineStr">
        <is>
          <t>2</t>
        </is>
      </c>
      <c r="AE124" s="7" t="inlineStr">
        <is>
          <t>0</t>
        </is>
      </c>
      <c r="AF124" s="7" t="inlineStr">
        <is>
          <t>Générique / Multi-éditeurs / Sans dominante</t>
        </is>
      </c>
      <c r="AG124" s="8" t="inlineStr">
        <is>
          <t>estimé</t>
        </is>
      </c>
      <c r="AH124" s="12" t="inlineStr">
        <is>
          <t>Aucune dimension logicielle dans le positionnement de l'organisateur : rattache au 0 (sans dominante) plutot que laisse vide, conformement a la demande de non-vide</t>
        </is>
      </c>
      <c r="AI124" s="7" t="inlineStr">
        <is>
          <t>1</t>
        </is>
      </c>
      <c r="AJ124" s="7" t="inlineStr">
        <is>
          <t>1-15</t>
        </is>
      </c>
      <c r="AK124" s="8" t="inlineStr">
        <is>
          <t>estimé</t>
        </is>
      </c>
      <c r="AL124" s="7" t="inlineStr">
        <is>
          <t>estimation : 10 a 25 participants</t>
        </is>
      </c>
      <c r="AM124" s="11" t="inlineStr">
        <is>
          <t>Modele de format (parcours d'accompagnement sur candidature), fourchette 10-25, plafonnee par la capacite du lieu (CCI Val-d'Oise, 35 boulevard du Port ~ 120)</t>
        </is>
      </c>
      <c r="AN124" s="7" t="inlineStr">
        <is>
          <t>moyenne</t>
        </is>
      </c>
      <c r="AO124" s="7" t="inlineStr">
        <is>
          <t>1</t>
        </is>
      </c>
      <c r="AP124" s="7" t="inlineStr">
        <is>
          <t>Décideurs PME/ETI</t>
        </is>
      </c>
      <c r="AQ124" s="7" t="inlineStr">
        <is>
          <t>constaté</t>
        </is>
      </c>
      <c r="AR124" s="12" t="inlineStr"/>
      <c r="AS124" s="7" t="inlineStr">
        <is>
          <t>2</t>
        </is>
      </c>
      <c r="AT124" s="7" t="inlineStr">
        <is>
          <t>Moyen</t>
        </is>
      </c>
      <c r="AU124" s="7" t="inlineStr">
        <is>
          <t>constaté</t>
        </is>
      </c>
      <c r="AV124" s="12" t="inlineStr"/>
      <c r="AW124" s="7" t="inlineStr">
        <is>
          <t>S:0 L:0 N:1 P:1 A:2</t>
        </is>
      </c>
    </row>
    <row r="125">
      <c r="A125" s="10" t="inlineStr">
        <is>
          <t>Datadog Summit Paris 2026</t>
        </is>
      </c>
      <c r="B125" s="10" t="inlineStr">
        <is>
          <t>Datadog</t>
        </is>
      </c>
      <c r="C125" s="10" t="inlineStr">
        <is>
          <t>2026-10-15</t>
        </is>
      </c>
      <c r="D125" s="10" t="inlineStr"/>
      <c r="E125" s="10" t="inlineStr"/>
      <c r="F125" s="10" t="inlineStr">
        <is>
          <t>non identifié publiquement</t>
        </is>
      </c>
      <c r="G125" s="10" t="inlineStr">
        <is>
          <t>Maison de la Mutualité</t>
        </is>
      </c>
      <c r="H125" s="10" t="inlineStr">
        <is>
          <t>Paris (arrondissement selon le lieu)</t>
        </is>
      </c>
      <c r="I125" s="10" t="inlineStr">
        <is>
          <t>75</t>
        </is>
      </c>
      <c r="J125" s="10" t="inlineStr">
        <is>
          <t>présentiel</t>
        </is>
      </c>
      <c r="K125" s="11" t="inlineStr">
        <is>
          <t>Datadog Summit Paris 2026 : observabilité, sécurité et surveillance. Workshops, keynotes et networking avec experts et ingénieurs Datadog.</t>
        </is>
      </c>
      <c r="L125" s="11" t="inlineStr">
        <is>
          <t>non identifié publiquement</t>
        </is>
      </c>
      <c r="M125" s="10" t="inlineStr">
        <is>
          <t>Numerique, informatique, technologies</t>
        </is>
      </c>
      <c r="N125" s="10" t="inlineStr">
        <is>
          <t>Datadog Summit Paris 2026 - Datadog Summit Paris 2026 : observabilité, sécurité et surveillance. Workshops, keynotes et networking avec ex</t>
        </is>
      </c>
      <c r="O125" s="10" t="inlineStr">
        <is>
          <t>non identifié publiquement</t>
        </is>
      </c>
      <c r="P125" s="10" t="inlineStr"/>
      <c r="Q125" s="11" t="inlineStr"/>
      <c r="R125" s="10" t="inlineStr">
        <is>
          <t>non identifié publiquement</t>
        </is>
      </c>
      <c r="S125" s="10" t="inlineStr">
        <is>
          <t>non</t>
        </is>
      </c>
      <c r="T125" s="11" t="inlineStr"/>
      <c r="U125" s="10" t="inlineStr">
        <is>
          <t>non identifié publiquement</t>
        </is>
      </c>
      <c r="V125" s="10" t="inlineStr">
        <is>
          <t>https://www.agenda-tech.com/events/datadog-summit-paris-2026</t>
        </is>
      </c>
      <c r="W125" s="10" t="inlineStr">
        <is>
          <t>2026-09-15</t>
        </is>
      </c>
      <c r="X125" s="11" t="inlineStr">
        <is>
          <t>Identifie via l'agregateur specialise Agenda Tech (donnees structurees schema.org publiees par l'organisateur).</t>
        </is>
      </c>
      <c r="Y125" s="7" t="inlineStr">
        <is>
          <t>4</t>
        </is>
      </c>
      <c r="Z125" s="7" t="inlineStr">
        <is>
          <t>Tech / IT / Logiciels / Télécom</t>
        </is>
      </c>
      <c r="AA125" s="7" t="inlineStr">
        <is>
          <t>0</t>
        </is>
      </c>
      <c r="AB125" s="7" t="inlineStr"/>
      <c r="AC125" s="7" t="inlineStr">
        <is>
          <t>7</t>
        </is>
      </c>
      <c r="AD125" s="7" t="inlineStr"/>
      <c r="AE125" s="7" t="inlineStr">
        <is>
          <t>0</t>
        </is>
      </c>
      <c r="AF125" s="7" t="inlineStr">
        <is>
          <t>Générique / Multi-éditeurs / Sans dominante</t>
        </is>
      </c>
      <c r="AG125" s="7" t="inlineStr">
        <is>
          <t>déduit</t>
        </is>
      </c>
      <c r="AH125" s="12" t="inlineStr">
        <is>
          <t>Deduit du secteur (axe 1)</t>
        </is>
      </c>
      <c r="AI125" s="7" t="inlineStr">
        <is>
          <t>5</t>
        </is>
      </c>
      <c r="AJ125" s="7" t="inlineStr">
        <is>
          <t>401-2000</t>
        </is>
      </c>
      <c r="AK125" s="8" t="inlineStr">
        <is>
          <t>estimé</t>
        </is>
      </c>
      <c r="AL125" s="7" t="inlineStr">
        <is>
          <t>estimation : 300 a 1500 participants</t>
        </is>
      </c>
      <c r="AM125" s="11" t="inlineStr">
        <is>
          <t>Modele de format (convention client d'editeur ou d'integrateur), fourchette 300-1500, plafonnee par la capacite du lieu (Maison de la Mutualité ~ 1700)</t>
        </is>
      </c>
      <c r="AN125" s="7" t="inlineStr">
        <is>
          <t>moyenne</t>
        </is>
      </c>
      <c r="AO125" s="7" t="inlineStr">
        <is>
          <t>7</t>
        </is>
      </c>
      <c r="AP125" s="7" t="inlineStr">
        <is>
          <t>Experts / Advisors / Associations professionnelles</t>
        </is>
      </c>
      <c r="AQ125" s="7" t="inlineStr">
        <is>
          <t>constaté</t>
        </is>
      </c>
      <c r="AR125" s="12" t="inlineStr"/>
      <c r="AS125" s="7" t="inlineStr">
        <is>
          <t>1</t>
        </is>
      </c>
      <c r="AT125" s="7" t="inlineStr">
        <is>
          <t>Facile</t>
        </is>
      </c>
      <c r="AU125" s="8" t="inlineStr">
        <is>
          <t>estimé</t>
        </is>
      </c>
      <c r="AV125" s="12" t="inlineStr">
        <is>
          <t>Tarif 'Gratuit' publie par Agenda Tech</t>
        </is>
      </c>
      <c r="AW125" s="7" t="inlineStr">
        <is>
          <t>S:4 L:0 N:5 P:7 A:1</t>
        </is>
      </c>
    </row>
    <row r="126">
      <c r="A126" s="10" t="inlineStr">
        <is>
          <t>Econocom Innovation Day</t>
        </is>
      </c>
      <c r="B126" s="10" t="inlineStr">
        <is>
          <t>Econocom</t>
        </is>
      </c>
      <c r="C126" s="10" t="inlineStr">
        <is>
          <t>2026-10-15</t>
        </is>
      </c>
      <c r="D126" s="10" t="inlineStr"/>
      <c r="E126" s="10" t="inlineStr"/>
      <c r="F126" s="10" t="inlineStr">
        <is>
          <t>non identifié publiquement</t>
        </is>
      </c>
      <c r="G126" s="10" t="inlineStr">
        <is>
          <t>The Hub Paris</t>
        </is>
      </c>
      <c r="H126" s="10" t="inlineStr">
        <is>
          <t>Puteaux</t>
        </is>
      </c>
      <c r="I126" s="10" t="inlineStr">
        <is>
          <t>92</t>
        </is>
      </c>
      <c r="J126" s="10" t="inlineStr">
        <is>
          <t>présentiel</t>
        </is>
      </c>
      <c r="K126" s="11" t="inlineStr">
        <is>
          <t>Econocom Innovation Day 2026 à Puteaux. Conférences, ateliers et démonstrations sur l'IA, cybersécurité et environnements de travail. 15 octobre 2026.</t>
        </is>
      </c>
      <c r="L126" s="11" t="inlineStr">
        <is>
          <t>non identifié publiquement</t>
        </is>
      </c>
      <c r="M126" s="10" t="inlineStr">
        <is>
          <t>Numerique, informatique, technologies</t>
        </is>
      </c>
      <c r="N126" s="10" t="inlineStr">
        <is>
          <t>Econocom Innovation Day - Econocom Innovation Day 2026 à Puteaux. Conférences, ateliers et démonstrations sur l'IA, cybersécurité et env</t>
        </is>
      </c>
      <c r="O126" s="10" t="inlineStr">
        <is>
          <t>non identifié publiquement</t>
        </is>
      </c>
      <c r="P126" s="10" t="inlineStr">
        <is>
          <t>ESTIME</t>
        </is>
      </c>
      <c r="Q126" s="11" t="inlineStr">
        <is>
          <t>Effectif attendu publie par l'agregateur specialise Agenda Tech pour cette edition</t>
        </is>
      </c>
      <c r="R126" s="10" t="inlineStr">
        <is>
          <t>non identifié publiquement</t>
        </is>
      </c>
      <c r="S126" s="10" t="inlineStr">
        <is>
          <t>non</t>
        </is>
      </c>
      <c r="T126" s="11" t="inlineStr"/>
      <c r="U126" s="10" t="inlineStr">
        <is>
          <t>non identifié publiquement</t>
        </is>
      </c>
      <c r="V126" s="10" t="inlineStr">
        <is>
          <t>https://www.agenda-tech.com/events/econocom-innovation-day-2026</t>
        </is>
      </c>
      <c r="W126" s="10" t="inlineStr">
        <is>
          <t>2026-09-15</t>
        </is>
      </c>
      <c r="X126" s="11" t="inlineStr">
        <is>
          <t>Identifie via l'agregateur specialise Agenda Tech (donnees structurees schema.org publiees par l'organisateur).</t>
        </is>
      </c>
      <c r="Y126" s="7" t="inlineStr">
        <is>
          <t>4</t>
        </is>
      </c>
      <c r="Z126" s="7" t="inlineStr">
        <is>
          <t>Tech / IT / Logiciels / Télécom</t>
        </is>
      </c>
      <c r="AA126" s="7" t="inlineStr">
        <is>
          <t>10</t>
        </is>
      </c>
      <c r="AB126" s="7" t="inlineStr"/>
      <c r="AC126" s="7" t="inlineStr"/>
      <c r="AD126" s="7" t="inlineStr"/>
      <c r="AE126" s="7" t="inlineStr">
        <is>
          <t>10</t>
        </is>
      </c>
      <c r="AF126" s="7" t="inlineStr">
        <is>
          <t>Cybersécurité</t>
        </is>
      </c>
      <c r="AG126" s="7" t="inlineStr">
        <is>
          <t>constaté</t>
        </is>
      </c>
      <c r="AH126" s="12" t="inlineStr"/>
      <c r="AI126" s="7" t="inlineStr">
        <is>
          <t>4</t>
        </is>
      </c>
      <c r="AJ126" s="7" t="inlineStr">
        <is>
          <t>121-400</t>
        </is>
      </c>
      <c r="AK126" s="8" t="inlineStr">
        <is>
          <t>estimé</t>
        </is>
      </c>
      <c r="AL126" s="7" t="inlineStr">
        <is>
          <t>environ 350 participants</t>
        </is>
      </c>
      <c r="AM126" s="11" t="inlineStr">
        <is>
          <t>Effectif attendu publie par Agenda Tech (agregateur specialise, chiffre de l'organisateur ou de l'agregateur)</t>
        </is>
      </c>
      <c r="AN126" s="7" t="inlineStr">
        <is>
          <t>moyenne</t>
        </is>
      </c>
      <c r="AO126" s="7" t="inlineStr">
        <is>
          <t>1</t>
        </is>
      </c>
      <c r="AP126" s="7" t="inlineStr">
        <is>
          <t>Décideurs PME/ETI</t>
        </is>
      </c>
      <c r="AQ126" s="8" t="inlineStr">
        <is>
          <t>estimé</t>
        </is>
      </c>
      <c r="AR126" s="12" t="inlineStr">
        <is>
          <t>Par defaut, evenement B2B francilien : decideurs PME/ETI</t>
        </is>
      </c>
      <c r="AS126" s="7" t="inlineStr">
        <is>
          <t>1</t>
        </is>
      </c>
      <c r="AT126" s="7" t="inlineStr">
        <is>
          <t>Facile</t>
        </is>
      </c>
      <c r="AU126" s="8" t="inlineStr">
        <is>
          <t>estimé</t>
        </is>
      </c>
      <c r="AV126" s="12" t="inlineStr">
        <is>
          <t>Tarif 'Gratuit' publie par Agenda Tech</t>
        </is>
      </c>
      <c r="AW126" s="7" t="inlineStr">
        <is>
          <t>S:4 L:10 N:4 P:1 A:1</t>
        </is>
      </c>
    </row>
    <row r="127">
      <c r="A127" s="10" t="inlineStr">
        <is>
          <t>Forum National des Associations &amp; Fondations (FNAF) 2026</t>
        </is>
      </c>
      <c r="B127" s="10" t="inlineStr">
        <is>
          <t>non identifié publiquement</t>
        </is>
      </c>
      <c r="C127" s="10" t="inlineStr">
        <is>
          <t>2026-10-15</t>
        </is>
      </c>
      <c r="D127" s="10" t="inlineStr"/>
      <c r="E127" s="10" t="inlineStr"/>
      <c r="F127" s="10" t="inlineStr">
        <is>
          <t>annuel</t>
        </is>
      </c>
      <c r="G127" s="10" t="inlineStr">
        <is>
          <t>Le CENTQUATRE-Paris</t>
        </is>
      </c>
      <c r="H127" s="10" t="inlineStr">
        <is>
          <t>Paris 19e</t>
        </is>
      </c>
      <c r="I127" s="10" t="inlineStr">
        <is>
          <t>75</t>
        </is>
      </c>
      <c r="J127" s="10" t="inlineStr">
        <is>
          <t>présentiel</t>
        </is>
      </c>
      <c r="K127" s="11" t="inlineStr">
        <is>
          <t>Le rendez-vous du secteur associatif, de la philathropie et de l'économie sociale et solidaire</t>
        </is>
      </c>
      <c r="L127" s="11" t="inlineStr">
        <is>
          <t>Visitorat : réservé aux professionnels (fiche CCI Paris Ile-de-France)</t>
        </is>
      </c>
      <c r="M127" s="10" t="inlineStr">
        <is>
          <t>Foires et salons multisectoriels</t>
        </is>
      </c>
      <c r="N127" s="10" t="inlineStr">
        <is>
          <t>non identifié publiquement</t>
        </is>
      </c>
      <c r="O127" s="10" t="inlineStr">
        <is>
          <t>non identifié publiquement</t>
        </is>
      </c>
      <c r="P127" s="10" t="inlineStr"/>
      <c r="Q127" s="11" t="inlineStr"/>
      <c r="R127" s="10" t="inlineStr">
        <is>
          <t>billet payant</t>
        </is>
      </c>
      <c r="S127" s="10" t="inlineStr">
        <is>
          <t>oui</t>
        </is>
      </c>
      <c r="T127" s="11" t="inlineStr">
        <is>
          <t>Evenement reserve aux dirigeants et cadres d'associations et de fondations</t>
        </is>
      </c>
      <c r="U127" s="10" t="inlineStr">
        <is>
          <t>non identifié publiquement</t>
        </is>
      </c>
      <c r="V127" s="10" t="inlineStr">
        <is>
          <t>https://www.cci-paris-idf.fr/fr/evenements-salons/salons-foires-paris-ile-de-france/forum-national-des-associations-fondations</t>
        </is>
      </c>
      <c r="W127" s="10" t="inlineStr">
        <is>
          <t>2026-09-15</t>
        </is>
      </c>
      <c r="X127" s="11" t="inlineStr">
        <is>
          <t>Public : dirigeants associatifs et de fondations. Hors ICP entreprise strict mais structures employeuses de taille comparable ; conserve, a arbitrer.</t>
        </is>
      </c>
      <c r="Y127" s="7" t="inlineStr">
        <is>
          <t>0</t>
        </is>
      </c>
      <c r="Z127" s="7" t="inlineStr">
        <is>
          <t>Générique / Transversal</t>
        </is>
      </c>
      <c r="AA127" s="7" t="inlineStr"/>
      <c r="AB127" s="7" t="inlineStr"/>
      <c r="AC127" s="7" t="inlineStr"/>
      <c r="AD127" s="7" t="inlineStr">
        <is>
          <t>2</t>
        </is>
      </c>
      <c r="AE127" s="7" t="inlineStr">
        <is>
          <t>0</t>
        </is>
      </c>
      <c r="AF127" s="7" t="inlineStr">
        <is>
          <t>Générique / Multi-éditeurs / Sans dominante</t>
        </is>
      </c>
      <c r="AG127" s="8" t="inlineStr">
        <is>
          <t>estimé</t>
        </is>
      </c>
      <c r="AH127" s="12" t="inlineStr">
        <is>
          <t>Aucune dimension logicielle dans le positionnement de l'organisateur : rattache au 0 (sans dominante) plutot que laisse vide, conformement a la demande de non-vide</t>
        </is>
      </c>
      <c r="AI127" s="7" t="inlineStr">
        <is>
          <t>4</t>
        </is>
      </c>
      <c r="AJ127" s="7" t="inlineStr">
        <is>
          <t>121-400</t>
        </is>
      </c>
      <c r="AK127" s="8" t="inlineStr">
        <is>
          <t>estimé</t>
        </is>
      </c>
      <c r="AL127" s="7" t="inlineStr">
        <is>
          <t>estimation : 150 a 600 participants</t>
        </is>
      </c>
      <c r="AM127" s="11" t="inlineStr">
        <is>
          <t>Modele de format (colloque ou journee thematique), fourchette 150-600, plafonnee par la capacite du lieu (Le CENTQUATRE-Paris ~ 2500)</t>
        </is>
      </c>
      <c r="AN127" s="7" t="inlineStr">
        <is>
          <t>moyenne</t>
        </is>
      </c>
      <c r="AO127" s="7" t="inlineStr">
        <is>
          <t>1</t>
        </is>
      </c>
      <c r="AP127" s="7" t="inlineStr">
        <is>
          <t>Décideurs PME/ETI</t>
        </is>
      </c>
      <c r="AQ127" s="8" t="inlineStr">
        <is>
          <t>estimé</t>
        </is>
      </c>
      <c r="AR127" s="12" t="inlineStr">
        <is>
          <t>Par defaut, evenement B2B francilien : decideurs PME/ETI</t>
        </is>
      </c>
      <c r="AS127" s="7" t="inlineStr">
        <is>
          <t>2</t>
        </is>
      </c>
      <c r="AT127" s="7" t="inlineStr">
        <is>
          <t>Moyen</t>
        </is>
      </c>
      <c r="AU127" s="7" t="inlineStr">
        <is>
          <t>constaté</t>
        </is>
      </c>
      <c r="AV127" s="12" t="inlineStr"/>
      <c r="AW127" s="7" t="inlineStr">
        <is>
          <t>S:0 L:0 N:4 P:1 A:2</t>
        </is>
      </c>
    </row>
    <row r="128">
      <c r="A128" s="10" t="inlineStr">
        <is>
          <t>Hexacon 2026</t>
        </is>
      </c>
      <c r="B128" s="10" t="inlineStr">
        <is>
          <t>Synacktiv</t>
        </is>
      </c>
      <c r="C128" s="10" t="inlineStr">
        <is>
          <t>2026-10-15</t>
        </is>
      </c>
      <c r="D128" s="10" t="inlineStr">
        <is>
          <t>2026-10-16</t>
        </is>
      </c>
      <c r="E128" s="10" t="inlineStr"/>
      <c r="F128" s="10" t="inlineStr">
        <is>
          <t>non identifié publiquement</t>
        </is>
      </c>
      <c r="G128" s="10" t="inlineStr">
        <is>
          <t>non identifié publiquement</t>
        </is>
      </c>
      <c r="H128" s="10" t="inlineStr">
        <is>
          <t>Paris (arrondissement non communique)</t>
        </is>
      </c>
      <c r="I128" s="10" t="inlineStr">
        <is>
          <t>75</t>
        </is>
      </c>
      <c r="J128" s="10" t="inlineStr">
        <is>
          <t>présentiel</t>
        </is>
      </c>
      <c r="K128" s="11" t="inlineStr">
        <is>
          <t>Hexacon 2026, rendez-vous offensive security à Paris les 16-17 octobre. 2 jours, 8 formations, contenu technique et communauté.</t>
        </is>
      </c>
      <c r="L128" s="11" t="inlineStr">
        <is>
          <t>non identifié publiquement</t>
        </is>
      </c>
      <c r="M128" s="10" t="inlineStr">
        <is>
          <t>Numerique, informatique, technologies</t>
        </is>
      </c>
      <c r="N128" s="10" t="inlineStr">
        <is>
          <t>non identifié publiquement</t>
        </is>
      </c>
      <c r="O128" s="10" t="inlineStr">
        <is>
          <t>non identifié publiquement</t>
        </is>
      </c>
      <c r="P128" s="10" t="inlineStr"/>
      <c r="Q128" s="11" t="inlineStr"/>
      <c r="R128" s="10" t="inlineStr">
        <is>
          <t>non identifié publiquement</t>
        </is>
      </c>
      <c r="S128" s="10" t="inlineStr">
        <is>
          <t>non</t>
        </is>
      </c>
      <c r="T128" s="11" t="inlineStr"/>
      <c r="U128" s="10" t="inlineStr">
        <is>
          <t>non identifié publiquement</t>
        </is>
      </c>
      <c r="V128" s="10" t="inlineStr">
        <is>
          <t>https://www.agenda-tech.com/events/hexacon-2026</t>
        </is>
      </c>
      <c r="W128" s="10" t="inlineStr">
        <is>
          <t>2026-09-15</t>
        </is>
      </c>
      <c r="X128" s="11" t="inlineStr">
        <is>
          <t>Identifie via l'agregateur specialise Agenda Tech (donnees structurees schema.org publiees par l'organisateur).</t>
        </is>
      </c>
      <c r="Y128" s="7" t="inlineStr">
        <is>
          <t>4</t>
        </is>
      </c>
      <c r="Z128" s="7" t="inlineStr">
        <is>
          <t>Tech / IT / Logiciels / Télécom</t>
        </is>
      </c>
      <c r="AA128" s="7" t="inlineStr">
        <is>
          <t>0</t>
        </is>
      </c>
      <c r="AB128" s="7" t="inlineStr"/>
      <c r="AC128" s="7" t="inlineStr"/>
      <c r="AD128" s="7" t="inlineStr"/>
      <c r="AE128" s="7" t="inlineStr">
        <is>
          <t>0</t>
        </is>
      </c>
      <c r="AF128" s="7" t="inlineStr">
        <is>
          <t>Générique / Multi-éditeurs / Sans dominante</t>
        </is>
      </c>
      <c r="AG128" s="7" t="inlineStr">
        <is>
          <t>déduit</t>
        </is>
      </c>
      <c r="AH128" s="12" t="inlineStr">
        <is>
          <t>Deduit du secteur (axe 1)</t>
        </is>
      </c>
      <c r="AI128" s="7" t="inlineStr">
        <is>
          <t>4</t>
        </is>
      </c>
      <c r="AJ128" s="7" t="inlineStr">
        <is>
          <t>121-400</t>
        </is>
      </c>
      <c r="AK128" s="8" t="inlineStr">
        <is>
          <t>estimé</t>
        </is>
      </c>
      <c r="AL128" s="7" t="inlineStr">
        <is>
          <t>estimation : 100 a 500 participants</t>
        </is>
      </c>
      <c r="AM128" s="11" t="inlineStr">
        <is>
          <t>Modele de format (format non caracterise), fourchette 100-500</t>
        </is>
      </c>
      <c r="AN128" s="7" t="inlineStr">
        <is>
          <t>faible</t>
        </is>
      </c>
      <c r="AO128" s="7" t="inlineStr">
        <is>
          <t>1</t>
        </is>
      </c>
      <c r="AP128" s="7" t="inlineStr">
        <is>
          <t>Décideurs PME/ETI</t>
        </is>
      </c>
      <c r="AQ128" s="8" t="inlineStr">
        <is>
          <t>estimé</t>
        </is>
      </c>
      <c r="AR128" s="12" t="inlineStr">
        <is>
          <t>Par defaut, evenement B2B francilien : decideurs PME/ETI</t>
        </is>
      </c>
      <c r="AS128" s="7" t="inlineStr">
        <is>
          <t>2</t>
        </is>
      </c>
      <c r="AT128" s="7" t="inlineStr">
        <is>
          <t>Moyen</t>
        </is>
      </c>
      <c r="AU128" s="8" t="inlineStr">
        <is>
          <t>estimé</t>
        </is>
      </c>
      <c r="AV128" s="12" t="inlineStr">
        <is>
          <t>Billetterie en vente libre (mention 'Voir tarifs sur le site' chez Agenda Tech), sans gratuite confirmee</t>
        </is>
      </c>
      <c r="AW128" s="7" t="inlineStr">
        <is>
          <t>S:4 L:0 N:4 P:1 A:2</t>
        </is>
      </c>
    </row>
    <row r="129">
      <c r="A129" s="10" t="inlineStr">
        <is>
          <t>Momentum</t>
        </is>
      </c>
      <c r="B129" s="10" t="inlineStr">
        <is>
          <t>DocuSign Inc</t>
        </is>
      </c>
      <c r="C129" s="10" t="inlineStr">
        <is>
          <t>2026-10-15</t>
        </is>
      </c>
      <c r="D129" s="10" t="inlineStr"/>
      <c r="E129" s="10" t="inlineStr"/>
      <c r="F129" s="10" t="inlineStr">
        <is>
          <t>non identifié publiquement</t>
        </is>
      </c>
      <c r="G129" s="10" t="inlineStr">
        <is>
          <t>Pavillons des Étangs</t>
        </is>
      </c>
      <c r="H129" s="10" t="inlineStr">
        <is>
          <t>Paris (arrondissement selon le lieu)</t>
        </is>
      </c>
      <c r="I129" s="10" t="inlineStr">
        <is>
          <t>75</t>
        </is>
      </c>
      <c r="J129" s="10" t="inlineStr">
        <is>
          <t>présentiel</t>
        </is>
      </c>
      <c r="K129" s="11" t="inlineStr">
        <is>
          <t>Momentum 15 oct 2026 à Paris. Découvrez l'IA pour la transformation contractuelle avec DocuSign. Leaders du secteur et solutions innovantes.</t>
        </is>
      </c>
      <c r="L129" s="11" t="inlineStr">
        <is>
          <t>non identifié publiquement</t>
        </is>
      </c>
      <c r="M129" s="10" t="inlineStr">
        <is>
          <t>Numerique, informatique, technologies</t>
        </is>
      </c>
      <c r="N129" s="10" t="inlineStr">
        <is>
          <t>Momentum - Momentum 15 oct 2026 à Paris. Découvrez l'IA pour la transformation contractuelle avec DocuSign. Leaders du se</t>
        </is>
      </c>
      <c r="O129" s="10" t="inlineStr">
        <is>
          <t>non identifié publiquement</t>
        </is>
      </c>
      <c r="P129" s="10" t="inlineStr"/>
      <c r="Q129" s="11" t="inlineStr"/>
      <c r="R129" s="10" t="inlineStr">
        <is>
          <t>non identifié publiquement</t>
        </is>
      </c>
      <c r="S129" s="10" t="inlineStr">
        <is>
          <t>non</t>
        </is>
      </c>
      <c r="T129" s="11" t="inlineStr"/>
      <c r="U129" s="10" t="inlineStr">
        <is>
          <t>non identifié publiquement</t>
        </is>
      </c>
      <c r="V129" s="10" t="inlineStr">
        <is>
          <t>https://www.agenda-tech.com/events/momentum-2026</t>
        </is>
      </c>
      <c r="W129" s="10" t="inlineStr">
        <is>
          <t>2026-09-15</t>
        </is>
      </c>
      <c r="X129" s="11" t="inlineStr">
        <is>
          <t>Identifie via l'agregateur specialise Agenda Tech (donnees structurees schema.org publiees par l'organisateur).</t>
        </is>
      </c>
      <c r="Y129" s="7" t="inlineStr">
        <is>
          <t>16|4</t>
        </is>
      </c>
      <c r="Z129" s="7" t="inlineStr">
        <is>
          <t>IA / Intelligence artificielle + Tech / IT / Logiciels / Télécom</t>
        </is>
      </c>
      <c r="AA129" s="7" t="inlineStr">
        <is>
          <t>11</t>
        </is>
      </c>
      <c r="AB129" s="7" t="inlineStr"/>
      <c r="AC129" s="7" t="inlineStr"/>
      <c r="AD129" s="7" t="inlineStr"/>
      <c r="AE129" s="7" t="inlineStr">
        <is>
          <t>11</t>
        </is>
      </c>
      <c r="AF129" s="7" t="inlineStr">
        <is>
          <t>IA / Automatisation / No-code / Low-code</t>
        </is>
      </c>
      <c r="AG129" s="7" t="inlineStr">
        <is>
          <t>déduit</t>
        </is>
      </c>
      <c r="AH129" s="12" t="inlineStr">
        <is>
          <t>Deduit du secteur (axe 1)</t>
        </is>
      </c>
      <c r="AI129" s="7" t="inlineStr">
        <is>
          <t>4</t>
        </is>
      </c>
      <c r="AJ129" s="7" t="inlineStr">
        <is>
          <t>121-400</t>
        </is>
      </c>
      <c r="AK129" s="8" t="inlineStr">
        <is>
          <t>estimé</t>
        </is>
      </c>
      <c r="AL129" s="7" t="inlineStr">
        <is>
          <t>estimation : 100 a 400 participants</t>
        </is>
      </c>
      <c r="AM129" s="11" t="inlineStr">
        <is>
          <t>Modele de format (format non caracterise), fourchette 100-400, plafonnee par la capacite du lieu (Pavillons des Étangs ~ 400)</t>
        </is>
      </c>
      <c r="AN129" s="7" t="inlineStr">
        <is>
          <t>faible</t>
        </is>
      </c>
      <c r="AO129" s="7" t="inlineStr">
        <is>
          <t>3</t>
        </is>
      </c>
      <c r="AP129" s="7" t="inlineStr">
        <is>
          <t>Opérationnels / Utilisateurs métier</t>
        </is>
      </c>
      <c r="AQ129" s="8" t="inlineStr">
        <is>
          <t>estimé</t>
        </is>
      </c>
      <c r="AR129" s="12" t="inlineStr">
        <is>
          <t>Conference technique IA : profils operationnels et utilisateurs metier</t>
        </is>
      </c>
      <c r="AS129" s="7" t="inlineStr">
        <is>
          <t>1</t>
        </is>
      </c>
      <c r="AT129" s="7" t="inlineStr">
        <is>
          <t>Facile</t>
        </is>
      </c>
      <c r="AU129" s="8" t="inlineStr">
        <is>
          <t>estimé</t>
        </is>
      </c>
      <c r="AV129" s="12" t="inlineStr">
        <is>
          <t>Tarif 'Gratuit' publie par Agenda Tech</t>
        </is>
      </c>
      <c r="AW129" s="7" t="inlineStr">
        <is>
          <t>S:16|4 L:11 N:4 P:3 A:1</t>
        </is>
      </c>
    </row>
    <row r="130">
      <c r="A130" s="10" t="inlineStr">
        <is>
          <t>PyData Paris 2026</t>
        </is>
      </c>
      <c r="B130" s="10" t="inlineStr">
        <is>
          <t>Communaute PyData / NumFOCUS</t>
        </is>
      </c>
      <c r="C130" s="10" t="inlineStr">
        <is>
          <t>2026-10-15</t>
        </is>
      </c>
      <c r="D130" s="10" t="inlineStr">
        <is>
          <t>2026-10-16</t>
        </is>
      </c>
      <c r="E130" s="10" t="inlineStr"/>
      <c r="F130" s="10" t="inlineStr">
        <is>
          <t>annuel</t>
        </is>
      </c>
      <c r="G130" s="10" t="inlineStr">
        <is>
          <t>Cite des Sciences et de l'Industrie / La Rotonde</t>
        </is>
      </c>
      <c r="H130" s="10" t="inlineStr">
        <is>
          <t>Paris 19e</t>
        </is>
      </c>
      <c r="I130" s="10" t="inlineStr">
        <is>
          <t>75</t>
        </is>
      </c>
      <c r="J130" s="10" t="inlineStr">
        <is>
          <t>hybride</t>
        </is>
      </c>
      <c r="K130" s="11" t="inlineStr">
        <is>
          <t>Conference de la communaute Python, data science et machine learning open source.</t>
        </is>
      </c>
      <c r="L130" s="11" t="inlineStr">
        <is>
          <t>non identifié publiquement</t>
        </is>
      </c>
      <c r="M130" s="10" t="inlineStr">
        <is>
          <t>Data science, Python, machine learning open source</t>
        </is>
      </c>
      <c r="N130" s="10" t="inlineStr">
        <is>
          <t>Python, data science, machine learning, ecosysteme open source</t>
        </is>
      </c>
      <c r="O130" s="10" t="inlineStr">
        <is>
          <t>non identifié publiquement</t>
        </is>
      </c>
      <c r="P130" s="10" t="inlineStr"/>
      <c r="Q130" s="11" t="inlineStr"/>
      <c r="R130" s="10" t="inlineStr">
        <is>
          <t>billet payant</t>
        </is>
      </c>
      <c r="S130" s="10" t="inlineStr">
        <is>
          <t>non</t>
        </is>
      </c>
      <c r="T130" s="11" t="inlineStr"/>
      <c r="U130" s="10" t="inlineStr">
        <is>
          <t>gratuit a 80 EUR</t>
        </is>
      </c>
      <c r="V130" s="10" t="inlineStr">
        <is>
          <t>https://expira.io/evenements</t>
        </is>
      </c>
      <c r="W130" s="10" t="inlineStr">
        <is>
          <t>2026-09-15</t>
        </is>
      </c>
      <c r="X130" s="11" t="inlineStr">
        <is>
          <t>Identifie via l'agregateur specialise Expira. Format hybride annonce. Tarif d'entree de gamme : bon point d'entree communautaire.</t>
        </is>
      </c>
      <c r="Y130" s="7" t="inlineStr">
        <is>
          <t>16|4</t>
        </is>
      </c>
      <c r="Z130" s="7" t="inlineStr">
        <is>
          <t>IA / Intelligence artificielle + Tech / IT / Logiciels / Télécom</t>
        </is>
      </c>
      <c r="AA130" s="7" t="inlineStr">
        <is>
          <t>9</t>
        </is>
      </c>
      <c r="AB130" s="7" t="inlineStr"/>
      <c r="AC130" s="7" t="inlineStr"/>
      <c r="AD130" s="7" t="inlineStr">
        <is>
          <t>1</t>
        </is>
      </c>
      <c r="AE130" s="7" t="inlineStr">
        <is>
          <t>9</t>
        </is>
      </c>
      <c r="AF130" s="7" t="inlineStr">
        <is>
          <t>Data / BI / Analytics</t>
        </is>
      </c>
      <c r="AG130" s="7" t="inlineStr">
        <is>
          <t>constaté</t>
        </is>
      </c>
      <c r="AH130" s="12" t="inlineStr"/>
      <c r="AI130" s="7" t="inlineStr">
        <is>
          <t>4</t>
        </is>
      </c>
      <c r="AJ130" s="7" t="inlineStr">
        <is>
          <t>121-400</t>
        </is>
      </c>
      <c r="AK130" s="8" t="inlineStr">
        <is>
          <t>estimé</t>
        </is>
      </c>
      <c r="AL130" s="7" t="inlineStr">
        <is>
          <t>estimation : 200 a 800 participants</t>
        </is>
      </c>
      <c r="AM130" s="11" t="inlineStr">
        <is>
          <t>Modele de format (conference technique ou sectorielle), fourchette 200-800, plafonnee par la capacite du lieu (Cite des Sciences et de l'Industrie / La ~ 1500)</t>
        </is>
      </c>
      <c r="AN130" s="7" t="inlineStr">
        <is>
          <t>moyenne</t>
        </is>
      </c>
      <c r="AO130" s="7" t="inlineStr">
        <is>
          <t>3</t>
        </is>
      </c>
      <c r="AP130" s="7" t="inlineStr">
        <is>
          <t>Opérationnels / Utilisateurs métier</t>
        </is>
      </c>
      <c r="AQ130" s="8" t="inlineStr">
        <is>
          <t>estimé</t>
        </is>
      </c>
      <c r="AR130" s="12" t="inlineStr">
        <is>
          <t>Conference technique IA : profils operationnels et utilisateurs metier</t>
        </is>
      </c>
      <c r="AS130" s="7" t="inlineStr">
        <is>
          <t>1</t>
        </is>
      </c>
      <c r="AT130" s="7" t="inlineStr">
        <is>
          <t>Facile</t>
        </is>
      </c>
      <c r="AU130" s="7" t="inlineStr">
        <is>
          <t>constaté</t>
        </is>
      </c>
      <c r="AV130" s="12" t="inlineStr"/>
      <c r="AW130" s="7" t="inlineStr">
        <is>
          <t>S:16|4 L:9 N:4 P:3 A:1</t>
        </is>
      </c>
    </row>
    <row r="131">
      <c r="A131" s="10" t="inlineStr">
        <is>
          <t>SIAL Paris 2026</t>
        </is>
      </c>
      <c r="B131" s="10" t="inlineStr">
        <is>
          <t>Comexposium</t>
        </is>
      </c>
      <c r="C131" s="10" t="inlineStr">
        <is>
          <t>2026-10-17</t>
        </is>
      </c>
      <c r="D131" s="10" t="inlineStr">
        <is>
          <t>2026-10-21</t>
        </is>
      </c>
      <c r="E131" s="10" t="inlineStr"/>
      <c r="F131" s="10" t="inlineStr">
        <is>
          <t>biennal (annees paires)</t>
        </is>
      </c>
      <c r="G131" s="10" t="inlineStr">
        <is>
          <t>Parc des Expositions de Paris Nord Villepinte</t>
        </is>
      </c>
      <c r="H131" s="10" t="inlineStr">
        <is>
          <t>Villepinte</t>
        </is>
      </c>
      <c r="I131" s="10" t="inlineStr">
        <is>
          <t>93</t>
        </is>
      </c>
      <c r="J131" s="10" t="inlineStr">
        <is>
          <t>présentiel</t>
        </is>
      </c>
      <c r="K131" s="11" t="inlineStr">
        <is>
          <t>Le rendez-vous mondial de l'innovation alimentaire</t>
        </is>
      </c>
      <c r="L131" s="11" t="inlineStr">
        <is>
          <t>Visitorat : réservé aux professionnels (fiche CCI Paris Ile-de-France)</t>
        </is>
      </c>
      <c r="M131" s="10" t="inlineStr">
        <is>
          <t>Alimentation, hôtellerie, restauration et leurs équipements</t>
        </is>
      </c>
      <c r="N131" s="10" t="inlineStr">
        <is>
          <t>non identifié publiquement</t>
        </is>
      </c>
      <c r="O131" s="10" t="inlineStr">
        <is>
          <t>non identifié publiquement</t>
        </is>
      </c>
      <c r="P131" s="10" t="inlineStr">
        <is>
          <t>CONFIRME</t>
        </is>
      </c>
      <c r="Q131" s="11" t="inlineStr">
        <is>
          <t>Chiffres annonces par l'organisateur pour l'edition 2026 (sialparis.com, espace exposants) et repris par IMEX Management</t>
        </is>
      </c>
      <c r="R131" s="10" t="inlineStr">
        <is>
          <t>inscription libre</t>
        </is>
      </c>
      <c r="S131" s="10" t="inlineStr">
        <is>
          <t>oui</t>
        </is>
      </c>
      <c r="T131" s="11" t="inlineStr">
        <is>
          <t>Salon reserve aux professionnels de l'agroalimentaire</t>
        </is>
      </c>
      <c r="U131" s="10" t="inlineStr">
        <is>
          <t>non identifié publiquement</t>
        </is>
      </c>
      <c r="V131" s="10" t="inlineStr">
        <is>
          <t>https://www.cci-paris-idf.fr/fr/evenements-salons/salons-foires-paris-ile-de-france/sial-paris</t>
        </is>
      </c>
      <c r="W131" s="10" t="inlineStr">
        <is>
          <t>2026-09-15</t>
        </is>
      </c>
      <c r="X131" s="11" t="inlineStr">
        <is>
          <t>Site officiel sialparis.com difficile d'acces au scraping le 15/09/2026 ; dates confirmees par la fiche CCI Paris IDF et par des sources concordantes. Un des plus gros salons agroalimentaires mondiaux.</t>
        </is>
      </c>
      <c r="Y131" s="7" t="inlineStr">
        <is>
          <t>6|14</t>
        </is>
      </c>
      <c r="Z131" s="7" t="inlineStr">
        <is>
          <t>Agroalimentaire / Agriculture + Hôtellerie / Restauration / Tourisme</t>
        </is>
      </c>
      <c r="AA131" s="7" t="inlineStr"/>
      <c r="AB131" s="7" t="inlineStr"/>
      <c r="AC131" s="7" t="inlineStr"/>
      <c r="AD131" s="7" t="inlineStr">
        <is>
          <t>2</t>
        </is>
      </c>
      <c r="AE131" s="7" t="inlineStr">
        <is>
          <t>0</t>
        </is>
      </c>
      <c r="AF131" s="7" t="inlineStr">
        <is>
          <t>Générique / Multi-éditeurs / Sans dominante</t>
        </is>
      </c>
      <c r="AG131" s="8" t="inlineStr">
        <is>
          <t>estimé</t>
        </is>
      </c>
      <c r="AH131" s="12" t="inlineStr">
        <is>
          <t>Aucune dimension logicielle dans le positionnement de l'organisateur : rattache au 0 (sans dominante) plutot que laisse vide, conformement a la demande de non-vide</t>
        </is>
      </c>
      <c r="AI131" s="7" t="inlineStr">
        <is>
          <t>6</t>
        </is>
      </c>
      <c r="AJ131" s="7" t="inlineStr">
        <is>
          <t>&gt;2000</t>
        </is>
      </c>
      <c r="AK131" s="7" t="inlineStr">
        <is>
          <t>constaté</t>
        </is>
      </c>
      <c r="AL131" s="7" t="inlineStr">
        <is>
          <t>8 000 exposants, environ 295 000 professionnels attendus sur 280 000 m2</t>
        </is>
      </c>
      <c r="AM131" s="11" t="inlineStr">
        <is>
          <t>Chiffres annonces par l'organisateur pour l'edition 2026 (sialparis.com, espace exposants) et repris par IMEX Management</t>
        </is>
      </c>
      <c r="AN131" s="7" t="inlineStr">
        <is>
          <t>haute</t>
        </is>
      </c>
      <c r="AO131" s="7" t="inlineStr">
        <is>
          <t>1</t>
        </is>
      </c>
      <c r="AP131" s="7" t="inlineStr">
        <is>
          <t>Décideurs PME/ETI</t>
        </is>
      </c>
      <c r="AQ131" s="8" t="inlineStr">
        <is>
          <t>estimé</t>
        </is>
      </c>
      <c r="AR131" s="12" t="inlineStr">
        <is>
          <t>Par defaut, evenement B2B francilien : decideurs PME/ETI</t>
        </is>
      </c>
      <c r="AS131" s="7" t="inlineStr">
        <is>
          <t>2</t>
        </is>
      </c>
      <c r="AT131" s="7" t="inlineStr">
        <is>
          <t>Moyen</t>
        </is>
      </c>
      <c r="AU131" s="7" t="inlineStr">
        <is>
          <t>constaté</t>
        </is>
      </c>
      <c r="AV131" s="12" t="inlineStr"/>
      <c r="AW131" s="7" t="inlineStr">
        <is>
          <t>S:6|14 L:0 N:6 P:1 A:2</t>
        </is>
      </c>
    </row>
    <row r="132">
      <c r="A132" s="10" t="inlineStr">
        <is>
          <t>Formation Sauveteur Secouriste du Travail (19-20 octobre 2026)</t>
        </is>
      </c>
      <c r="B132" s="10" t="inlineStr">
        <is>
          <t>CPME Paris - Les Entrepreneurs Paris</t>
        </is>
      </c>
      <c r="C132" s="10" t="inlineStr">
        <is>
          <t>2026-10-20</t>
        </is>
      </c>
      <c r="D132" s="10" t="inlineStr">
        <is>
          <t>2026-10-20</t>
        </is>
      </c>
      <c r="E132" s="10" t="inlineStr"/>
      <c r="F132" s="10" t="inlineStr">
        <is>
          <t>non identifié publiquement</t>
        </is>
      </c>
      <c r="G132" s="10" t="inlineStr">
        <is>
          <t>Les Entrepreneurs Paris (CPME Paris), 19 rue de l'Amiral d'Estaing</t>
        </is>
      </c>
      <c r="H132" s="10" t="inlineStr">
        <is>
          <t>Paris 16e</t>
        </is>
      </c>
      <c r="I132" s="10" t="inlineStr">
        <is>
          <t>75</t>
        </is>
      </c>
      <c r="J132" s="10" t="inlineStr">
        <is>
          <t>présentiel</t>
        </is>
      </c>
      <c r="K132" s="11" t="inlineStr">
        <is>
          <t>Cette formation permet d’acquérir les compétences nécessaires pour intervenir efficacement en cas d’accident et contribuer à la sécurité collective.</t>
        </is>
      </c>
      <c r="L132" s="11" t="inlineStr">
        <is>
          <t>dirigeants et entrepreneurs adherents ou invites de la CPME Paris</t>
        </is>
      </c>
      <c r="M132" s="10" t="inlineStr">
        <is>
          <t>Sante et securite au travail</t>
        </is>
      </c>
      <c r="N132" s="10" t="inlineStr">
        <is>
          <t>non identifié publiquement</t>
        </is>
      </c>
      <c r="O132" s="10" t="inlineStr">
        <is>
          <t>non identifié publiquement</t>
        </is>
      </c>
      <c r="P132" s="10" t="inlineStr"/>
      <c r="Q132" s="11" t="inlineStr"/>
      <c r="R132" s="10" t="inlineStr">
        <is>
          <t>réservé adhérents</t>
        </is>
      </c>
      <c r="S132" s="10" t="inlineStr">
        <is>
          <t>oui</t>
        </is>
      </c>
      <c r="T132" s="11" t="inlineStr">
        <is>
          <t>Evenement d'organisation patronale, oriente adherents CPME Paris</t>
        </is>
      </c>
      <c r="U132" s="10" t="inlineStr">
        <is>
          <t>non identifié publiquement</t>
        </is>
      </c>
      <c r="V132" s="10" t="inlineStr">
        <is>
          <t>https://cpmeparis.fr/agenda/</t>
        </is>
      </c>
      <c r="W132" s="10" t="inlineStr">
        <is>
          <t>2026-09-15</t>
        </is>
      </c>
      <c r="X132" s="11" t="inlineStr">
        <is>
          <t>Identifie via l'agenda public de la CPME Paris (Les Entrepreneurs Paris). Adresse du siege : 19 rue de l'Amiral d'Estaing, 75016 Paris.</t>
        </is>
      </c>
      <c r="Y132" s="7" t="inlineStr">
        <is>
          <t>7</t>
        </is>
      </c>
      <c r="Z132" s="7" t="inlineStr">
        <is>
          <t>Santé / Pharma / Biotech / Medtech</t>
        </is>
      </c>
      <c r="AA132" s="7" t="inlineStr"/>
      <c r="AB132" s="7" t="inlineStr"/>
      <c r="AC132" s="7" t="inlineStr">
        <is>
          <t>1</t>
        </is>
      </c>
      <c r="AD132" s="7" t="inlineStr">
        <is>
          <t>2</t>
        </is>
      </c>
      <c r="AE132" s="7" t="inlineStr">
        <is>
          <t>0</t>
        </is>
      </c>
      <c r="AF132" s="7" t="inlineStr">
        <is>
          <t>Générique / Multi-éditeurs / Sans dominante</t>
        </is>
      </c>
      <c r="AG132" s="8" t="inlineStr">
        <is>
          <t>estimé</t>
        </is>
      </c>
      <c r="AH132" s="12" t="inlineStr">
        <is>
          <t>Aucune dimension logicielle dans le positionnement de l'organisateur : rattache au 0 (sans dominante) plutot que laisse vide, conformement a la demande de non-vide</t>
        </is>
      </c>
      <c r="AI132" s="7" t="inlineStr">
        <is>
          <t>3</t>
        </is>
      </c>
      <c r="AJ132" s="7" t="inlineStr">
        <is>
          <t>41-120</t>
        </is>
      </c>
      <c r="AK132" s="8" t="inlineStr">
        <is>
          <t>estimé</t>
        </is>
      </c>
      <c r="AL132" s="7" t="inlineStr">
        <is>
          <t>estimation : 25 a 80 participants</t>
        </is>
      </c>
      <c r="AM132" s="11" t="inlineStr">
        <is>
          <t>Modele de format (rendez-vous d'organisation patronale), fourchette 25-80</t>
        </is>
      </c>
      <c r="AN132" s="7" t="inlineStr">
        <is>
          <t>moyenne</t>
        </is>
      </c>
      <c r="AO132" s="7" t="inlineStr">
        <is>
          <t>1</t>
        </is>
      </c>
      <c r="AP132" s="7" t="inlineStr">
        <is>
          <t>Décideurs PME/ETI</t>
        </is>
      </c>
      <c r="AQ132" s="7" t="inlineStr">
        <is>
          <t>constaté</t>
        </is>
      </c>
      <c r="AR132" s="12" t="inlineStr"/>
      <c r="AS132" s="7" t="inlineStr">
        <is>
          <t>2</t>
        </is>
      </c>
      <c r="AT132" s="7" t="inlineStr">
        <is>
          <t>Moyen</t>
        </is>
      </c>
      <c r="AU132" s="7" t="inlineStr">
        <is>
          <t>constaté</t>
        </is>
      </c>
      <c r="AV132" s="12" t="inlineStr"/>
      <c r="AW132" s="7" t="inlineStr">
        <is>
          <t>S:7 L:0 N:3 P:1 A:2</t>
        </is>
      </c>
    </row>
    <row r="133">
      <c r="A133" s="10" t="inlineStr">
        <is>
          <t>Forum Teratec 2026</t>
        </is>
      </c>
      <c r="B133" s="10" t="inlineStr">
        <is>
          <t>Teratec</t>
        </is>
      </c>
      <c r="C133" s="10" t="inlineStr">
        <is>
          <t>2026-10-20</t>
        </is>
      </c>
      <c r="D133" s="10" t="inlineStr">
        <is>
          <t>2026-10-21</t>
        </is>
      </c>
      <c r="E133" s="10" t="inlineStr"/>
      <c r="F133" s="10" t="inlineStr">
        <is>
          <t>annuel</t>
        </is>
      </c>
      <c r="G133" s="10" t="inlineStr">
        <is>
          <t>Palais des Congres de Paris (Porte Maillot)</t>
        </is>
      </c>
      <c r="H133" s="10" t="inlineStr">
        <is>
          <t>Paris 17e</t>
        </is>
      </c>
      <c r="I133" s="10" t="inlineStr">
        <is>
          <t>75</t>
        </is>
      </c>
      <c r="J133" s="10" t="inlineStr">
        <is>
          <t>présentiel</t>
        </is>
      </c>
      <c r="K133" s="11" t="inlineStr">
        <is>
          <t>Evenement dedie a la simulation numerique, au calcul haute performance, a la data et a l'IA.</t>
        </is>
      </c>
      <c r="L133" s="11" t="inlineStr">
        <is>
          <t>Visitorat : réservé aux professionnels (fiche CCI Paris Ile-de-France)</t>
        </is>
      </c>
      <c r="M133" s="10" t="inlineStr">
        <is>
          <t>Informatique, télécommunications, audiovisuel et multimédia</t>
        </is>
      </c>
      <c r="N133" s="10" t="inlineStr">
        <is>
          <t>HPC, simulation numerique, IA, quantique, data</t>
        </is>
      </c>
      <c r="O133" s="10" t="inlineStr">
        <is>
          <t>non identifié publiquement</t>
        </is>
      </c>
      <c r="P133" s="10" t="inlineStr">
        <is>
          <t>CONFIRME</t>
        </is>
      </c>
      <c r="Q133" s="11" t="inlineStr">
        <is>
          <t>Communique de presse de l'organisateur du 6 mai 2026 (forum-teratec.com)</t>
        </is>
      </c>
      <c r="R133" s="10" t="inlineStr">
        <is>
          <t>billet payant</t>
        </is>
      </c>
      <c r="S133" s="10" t="inlineStr">
        <is>
          <t>non</t>
        </is>
      </c>
      <c r="T133" s="11" t="inlineStr"/>
      <c r="U133" s="10" t="inlineStr">
        <is>
          <t>non identifié publiquement</t>
        </is>
      </c>
      <c r="V133" s="10" t="inlineStr">
        <is>
          <t>https://www.cci-paris-idf.fr/fr/evenements-salons/salons-foires-paris-ile-de-france/forum-teratec</t>
        </is>
      </c>
      <c r="W133" s="10" t="inlineStr">
        <is>
          <t>2026-09-15</t>
        </is>
      </c>
      <c r="X133" s="11" t="inlineStr">
        <is>
          <t>FORT ALIGNEMENT IA/industrie. Teratec est l'association francaise du calcul haute performance : egalement rattachable aux familles E et F.</t>
        </is>
      </c>
      <c r="Y133" s="7" t="inlineStr">
        <is>
          <t>4</t>
        </is>
      </c>
      <c r="Z133" s="7" t="inlineStr">
        <is>
          <t>Tech / IT / Logiciels / Télécom</t>
        </is>
      </c>
      <c r="AA133" s="7" t="inlineStr">
        <is>
          <t>9</t>
        </is>
      </c>
      <c r="AB133" s="7" t="inlineStr"/>
      <c r="AC133" s="7" t="inlineStr"/>
      <c r="AD133" s="7" t="inlineStr">
        <is>
          <t>2</t>
        </is>
      </c>
      <c r="AE133" s="7" t="inlineStr">
        <is>
          <t>9</t>
        </is>
      </c>
      <c r="AF133" s="7" t="inlineStr">
        <is>
          <t>Data / BI / Analytics</t>
        </is>
      </c>
      <c r="AG133" s="7" t="inlineStr">
        <is>
          <t>constaté</t>
        </is>
      </c>
      <c r="AH133" s="12" t="inlineStr"/>
      <c r="AI133" s="7" t="inlineStr">
        <is>
          <t>5</t>
        </is>
      </c>
      <c r="AJ133" s="7" t="inlineStr">
        <is>
          <t>401-2000</t>
        </is>
      </c>
      <c r="AK133" s="7" t="inlineStr">
        <is>
          <t>constaté</t>
        </is>
      </c>
      <c r="AL133" s="7" t="inlineStr">
        <is>
          <t>2 000 participants, une centaine d'exposants, 90 intervenants</t>
        </is>
      </c>
      <c r="AM133" s="11" t="inlineStr">
        <is>
          <t>Communique de presse de l'organisateur du 6 mai 2026 (forum-teratec.com)</t>
        </is>
      </c>
      <c r="AN133" s="7" t="inlineStr">
        <is>
          <t>haute</t>
        </is>
      </c>
      <c r="AO133" s="7" t="inlineStr">
        <is>
          <t>1</t>
        </is>
      </c>
      <c r="AP133" s="7" t="inlineStr">
        <is>
          <t>Décideurs PME/ETI</t>
        </is>
      </c>
      <c r="AQ133" s="8" t="inlineStr">
        <is>
          <t>estimé</t>
        </is>
      </c>
      <c r="AR133" s="12" t="inlineStr">
        <is>
          <t>Par defaut, evenement B2B francilien : decideurs PME/ETI</t>
        </is>
      </c>
      <c r="AS133" s="7" t="inlineStr">
        <is>
          <t>2</t>
        </is>
      </c>
      <c r="AT133" s="7" t="inlineStr">
        <is>
          <t>Moyen</t>
        </is>
      </c>
      <c r="AU133" s="7" t="inlineStr">
        <is>
          <t>constaté</t>
        </is>
      </c>
      <c r="AV133" s="12" t="inlineStr"/>
      <c r="AW133" s="7" t="inlineStr">
        <is>
          <t>S:4 L:9 N:5 P:1 A:2</t>
        </is>
      </c>
    </row>
    <row r="134">
      <c r="A134" s="10" t="inlineStr">
        <is>
          <t>France-Roumanie : dynamique economique et opportunites</t>
        </is>
      </c>
      <c r="B134" s="10" t="inlineStr">
        <is>
          <t>CCI Paris Ile-de-France</t>
        </is>
      </c>
      <c r="C134" s="10" t="inlineStr">
        <is>
          <t>2026-10-20</t>
        </is>
      </c>
      <c r="D134" s="10" t="inlineStr"/>
      <c r="E134" s="10" t="inlineStr"/>
      <c r="F134" s="10" t="inlineStr">
        <is>
          <t>non identifié publiquement</t>
        </is>
      </c>
      <c r="G134" s="10" t="inlineStr">
        <is>
          <t>Ambassade de Roumanie, 5 rue de l'Exposition</t>
        </is>
      </c>
      <c r="H134" s="10" t="inlineStr">
        <is>
          <t>Paris 7e</t>
        </is>
      </c>
      <c r="I134" s="10" t="inlineStr">
        <is>
          <t>75</t>
        </is>
      </c>
      <c r="J134" s="10" t="inlineStr">
        <is>
          <t>présentiel</t>
        </is>
      </c>
      <c r="K134" s="11" t="inlineStr">
        <is>
          <t>Conference sur les opportunites economiques franco-roumaines.</t>
        </is>
      </c>
      <c r="L134" s="11" t="inlineStr">
        <is>
          <t>non identifié publiquement</t>
        </is>
      </c>
      <c r="M134" s="10" t="inlineStr">
        <is>
          <t>International</t>
        </is>
      </c>
      <c r="N134" s="10" t="inlineStr">
        <is>
          <t>non identifié publiquement</t>
        </is>
      </c>
      <c r="O134" s="10" t="inlineStr">
        <is>
          <t>non identifié publiquement</t>
        </is>
      </c>
      <c r="P134" s="10" t="inlineStr"/>
      <c r="Q134" s="11" t="inlineStr"/>
      <c r="R134" s="10" t="inlineStr">
        <is>
          <t>inscription libre</t>
        </is>
      </c>
      <c r="S134" s="10" t="inlineStr">
        <is>
          <t>oui</t>
        </is>
      </c>
      <c r="T134" s="11" t="inlineStr">
        <is>
          <t>Evenement en ambassade : acces soumis a inscription prealable et controle</t>
        </is>
      </c>
      <c r="U134" s="10" t="inlineStr">
        <is>
          <t>non identifié publiquement</t>
        </is>
      </c>
      <c r="V134" s="10" t="inlineStr">
        <is>
          <t>https://www.entreprises.cci-paris-idf.fr/evenements/france-roumanie-dynamique-economique-et-opportunites</t>
        </is>
      </c>
      <c r="W134" s="10" t="inlineStr">
        <is>
          <t>2026-09-15</t>
        </is>
      </c>
      <c r="X134" s="11" t="inlineStr"/>
      <c r="Y134" s="7" t="inlineStr">
        <is>
          <t>0</t>
        </is>
      </c>
      <c r="Z134" s="7" t="inlineStr">
        <is>
          <t>Générique / Transversal</t>
        </is>
      </c>
      <c r="AA134" s="7" t="inlineStr"/>
      <c r="AB134" s="7" t="inlineStr"/>
      <c r="AC134" s="7" t="inlineStr"/>
      <c r="AD134" s="7" t="inlineStr">
        <is>
          <t>2</t>
        </is>
      </c>
      <c r="AE134" s="7" t="inlineStr">
        <is>
          <t>0</t>
        </is>
      </c>
      <c r="AF134" s="7" t="inlineStr">
        <is>
          <t>Générique / Multi-éditeurs / Sans dominante</t>
        </is>
      </c>
      <c r="AG134" s="8" t="inlineStr">
        <is>
          <t>estimé</t>
        </is>
      </c>
      <c r="AH134" s="12" t="inlineStr">
        <is>
          <t>Aucune dimension logicielle dans le positionnement de l'organisateur : rattache au 0 (sans dominante) plutot que laisse vide, conformement a la demande de non-vide</t>
        </is>
      </c>
      <c r="AI134" s="7" t="inlineStr">
        <is>
          <t>4</t>
        </is>
      </c>
      <c r="AJ134" s="7" t="inlineStr">
        <is>
          <t>121-400</t>
        </is>
      </c>
      <c r="AK134" s="8" t="inlineStr">
        <is>
          <t>estimé</t>
        </is>
      </c>
      <c r="AL134" s="7" t="inlineStr">
        <is>
          <t>estimation : 200 a 200 participants</t>
        </is>
      </c>
      <c r="AM134" s="11" t="inlineStr">
        <is>
          <t>Modele de format (conference technique ou sectorielle), fourchette 200-200, plafonnee par la capacite du lieu (Ambassade de Roumanie, 5 rue de l'Exposi ~ 200)</t>
        </is>
      </c>
      <c r="AN134" s="7" t="inlineStr">
        <is>
          <t>moyenne</t>
        </is>
      </c>
      <c r="AO134" s="7" t="inlineStr">
        <is>
          <t>1</t>
        </is>
      </c>
      <c r="AP134" s="7" t="inlineStr">
        <is>
          <t>Décideurs PME/ETI</t>
        </is>
      </c>
      <c r="AQ134" s="8" t="inlineStr">
        <is>
          <t>estimé</t>
        </is>
      </c>
      <c r="AR134" s="12" t="inlineStr">
        <is>
          <t>Organisateur CCI : public cible structurel de dirigeants et collaborateurs de TPE-PME</t>
        </is>
      </c>
      <c r="AS134" s="7" t="inlineStr">
        <is>
          <t>2</t>
        </is>
      </c>
      <c r="AT134" s="7" t="inlineStr">
        <is>
          <t>Moyen</t>
        </is>
      </c>
      <c r="AU134" s="7" t="inlineStr">
        <is>
          <t>constaté</t>
        </is>
      </c>
      <c r="AV134" s="12" t="inlineStr"/>
      <c r="AW134" s="7" t="inlineStr">
        <is>
          <t>S:0 L:0 N:4 P:1 A:2</t>
        </is>
      </c>
    </row>
    <row r="135">
      <c r="A135" s="10" t="inlineStr">
        <is>
          <t>UNLEASH World 2026 Paris</t>
        </is>
      </c>
      <c r="B135" s="10" t="inlineStr">
        <is>
          <t>UNLEASH GROUP Ltd</t>
        </is>
      </c>
      <c r="C135" s="10" t="inlineStr">
        <is>
          <t>2026-10-20</t>
        </is>
      </c>
      <c r="D135" s="10" t="inlineStr">
        <is>
          <t>2026-10-22</t>
        </is>
      </c>
      <c r="E135" s="10" t="inlineStr"/>
      <c r="F135" s="10" t="inlineStr">
        <is>
          <t>non identifié publiquement</t>
        </is>
      </c>
      <c r="G135" s="10" t="inlineStr">
        <is>
          <t>Paris Expo Porte de Versailles</t>
        </is>
      </c>
      <c r="H135" s="10" t="inlineStr">
        <is>
          <t>Paris (arrondissement selon le lieu)</t>
        </is>
      </c>
      <c r="I135" s="10" t="inlineStr">
        <is>
          <t>75</t>
        </is>
      </c>
      <c r="J135" s="10" t="inlineStr">
        <is>
          <t>présentiel</t>
        </is>
      </c>
      <c r="K135" s="11" t="inlineStr">
        <is>
          <t>UNLEASH World 2026, 20-22 octobre à Paris : la grande conférence RH mondiale. 50+ speakers C-level, 1 000+ leaders RH, expo et networking.</t>
        </is>
      </c>
      <c r="L135" s="11" t="inlineStr">
        <is>
          <t>non identifié publiquement</t>
        </is>
      </c>
      <c r="M135" s="10" t="inlineStr">
        <is>
          <t>Numerique, informatique, technologies</t>
        </is>
      </c>
      <c r="N135" s="10" t="inlineStr">
        <is>
          <t>non identifié publiquement</t>
        </is>
      </c>
      <c r="O135" s="10" t="inlineStr">
        <is>
          <t>non identifié publiquement</t>
        </is>
      </c>
      <c r="P135" s="10" t="inlineStr">
        <is>
          <t>CONFIRME</t>
        </is>
      </c>
      <c r="Q135" s="11" t="inlineStr">
        <is>
          <t>Chiffre annonce par l'organisateur UNLEASH pour l'edition parisienne 2026 ; une source tierce (Vendelux) avance 12 540 participants et sponsors, ecart signale</t>
        </is>
      </c>
      <c r="R135" s="10" t="inlineStr">
        <is>
          <t>non identifié publiquement</t>
        </is>
      </c>
      <c r="S135" s="10" t="inlineStr">
        <is>
          <t>non</t>
        </is>
      </c>
      <c r="T135" s="11" t="inlineStr"/>
      <c r="U135" s="10" t="inlineStr">
        <is>
          <t>non identifié publiquement</t>
        </is>
      </c>
      <c r="V135" s="10" t="inlineStr">
        <is>
          <t>https://www.agenda-tech.com/events/unleash-world-2026-paris</t>
        </is>
      </c>
      <c r="W135" s="10" t="inlineStr">
        <is>
          <t>2026-09-15</t>
        </is>
      </c>
      <c r="X135" s="11" t="inlineStr">
        <is>
          <t>Identifie via l'agregateur specialise Agenda Tech (donnees structurees schema.org publiees par l'organisateur).</t>
        </is>
      </c>
      <c r="Y135" s="7" t="inlineStr">
        <is>
          <t>4</t>
        </is>
      </c>
      <c r="Z135" s="7" t="inlineStr">
        <is>
          <t>Tech / IT / Logiciels / Télécom</t>
        </is>
      </c>
      <c r="AA135" s="7" t="inlineStr">
        <is>
          <t>4</t>
        </is>
      </c>
      <c r="AB135" s="7" t="inlineStr"/>
      <c r="AC135" s="7" t="inlineStr">
        <is>
          <t>2</t>
        </is>
      </c>
      <c r="AD135" s="7" t="inlineStr"/>
      <c r="AE135" s="7" t="inlineStr">
        <is>
          <t>4</t>
        </is>
      </c>
      <c r="AF135" s="7" t="inlineStr">
        <is>
          <t>RH / Paie / SIRH</t>
        </is>
      </c>
      <c r="AG135" s="7" t="inlineStr">
        <is>
          <t>constaté</t>
        </is>
      </c>
      <c r="AH135" s="12" t="inlineStr"/>
      <c r="AI135" s="7" t="inlineStr">
        <is>
          <t>6</t>
        </is>
      </c>
      <c r="AJ135" s="7" t="inlineStr">
        <is>
          <t>&gt;2000</t>
        </is>
      </c>
      <c r="AK135" s="7" t="inlineStr">
        <is>
          <t>constaté</t>
        </is>
      </c>
      <c r="AL135" s="7" t="inlineStr">
        <is>
          <t>plus de 7 000 professionnels RH sur trois jours</t>
        </is>
      </c>
      <c r="AM135" s="11" t="inlineStr">
        <is>
          <t>Chiffre annonce par l'organisateur UNLEASH pour l'edition parisienne 2026 ; une source tierce (Vendelux) avance 12 540 participants et sponsors, ecart signale</t>
        </is>
      </c>
      <c r="AN135" s="7" t="inlineStr">
        <is>
          <t>haute</t>
        </is>
      </c>
      <c r="AO135" s="7" t="inlineStr">
        <is>
          <t>2</t>
        </is>
      </c>
      <c r="AP135" s="7" t="inlineStr">
        <is>
          <t>Décideurs Grands comptes</t>
        </is>
      </c>
      <c r="AQ135" s="7" t="inlineStr">
        <is>
          <t>constaté</t>
        </is>
      </c>
      <c r="AR135" s="12" t="inlineStr"/>
      <c r="AS135" s="7" t="inlineStr">
        <is>
          <t>2</t>
        </is>
      </c>
      <c r="AT135" s="7" t="inlineStr">
        <is>
          <t>Moyen</t>
        </is>
      </c>
      <c r="AU135" s="8" t="inlineStr">
        <is>
          <t>estimé</t>
        </is>
      </c>
      <c r="AV135" s="12" t="inlineStr">
        <is>
          <t>Tarif payant publie par Agenda Tech</t>
        </is>
      </c>
      <c r="AW135" s="7" t="inlineStr">
        <is>
          <t>S:4 L:4 N:6 P:2 A:2</t>
        </is>
      </c>
    </row>
    <row r="136">
      <c r="A136" s="10" t="inlineStr">
        <is>
          <t>Workshop numerique - LinkedIn : construisez le compte qui convertit</t>
        </is>
      </c>
      <c r="B136" s="10" t="inlineStr">
        <is>
          <t>CCI Paris Ile-de-France</t>
        </is>
      </c>
      <c r="C136" s="10" t="inlineStr">
        <is>
          <t>2026-10-20</t>
        </is>
      </c>
      <c r="D136" s="10" t="inlineStr"/>
      <c r="E136" s="10" t="inlineStr"/>
      <c r="F136" s="10" t="inlineStr">
        <is>
          <t>non identifié publiquement</t>
        </is>
      </c>
      <c r="G136" s="10" t="inlineStr">
        <is>
          <t>CCI Val-d'Oise, 35 boulevard du Port</t>
        </is>
      </c>
      <c r="H136" s="10" t="inlineStr">
        <is>
          <t>Cergy</t>
        </is>
      </c>
      <c r="I136" s="10" t="inlineStr">
        <is>
          <t>95</t>
        </is>
      </c>
      <c r="J136" s="10" t="inlineStr">
        <is>
          <t>présentiel</t>
        </is>
      </c>
      <c r="K136" s="11" t="inlineStr">
        <is>
          <t>Atelier de structuration d'un compte LinkedIn orientee conversion commerciale.</t>
        </is>
      </c>
      <c r="L136" s="11" t="inlineStr">
        <is>
          <t>non identifié publiquement</t>
        </is>
      </c>
      <c r="M136" s="10" t="inlineStr">
        <is>
          <t>Marketing digital</t>
        </is>
      </c>
      <c r="N136" s="10" t="inlineStr">
        <is>
          <t>non identifié publiquement</t>
        </is>
      </c>
      <c r="O136" s="10" t="inlineStr">
        <is>
          <t>non identifié publiquement</t>
        </is>
      </c>
      <c r="P136" s="10" t="inlineStr"/>
      <c r="Q136" s="11" t="inlineStr"/>
      <c r="R136" s="10" t="inlineStr">
        <is>
          <t>inscription libre</t>
        </is>
      </c>
      <c r="S136" s="10" t="inlineStr">
        <is>
          <t>non</t>
        </is>
      </c>
      <c r="T136" s="11" t="inlineStr"/>
      <c r="U136" s="10" t="inlineStr">
        <is>
          <t>290 EUR HT</t>
        </is>
      </c>
      <c r="V136" s="10" t="inlineStr">
        <is>
          <t>https://www.entreprises.cci-paris-idf.fr/evenements/workshop-numerique-linkedin-construisez-le-compte-qui-convertit</t>
        </is>
      </c>
      <c r="W136" s="10" t="inlineStr">
        <is>
          <t>2026-09-15</t>
        </is>
      </c>
      <c r="X136" s="11" t="inlineStr"/>
      <c r="Y136" s="7" t="inlineStr">
        <is>
          <t>4|15</t>
        </is>
      </c>
      <c r="Z136" s="7" t="inlineStr">
        <is>
          <t>Tech / IT / Logiciels / Télécom + Médias / Communication / Culture / Divertissement</t>
        </is>
      </c>
      <c r="AA136" s="7" t="inlineStr">
        <is>
          <t>0</t>
        </is>
      </c>
      <c r="AB136" s="7" t="inlineStr"/>
      <c r="AC136" s="7" t="inlineStr"/>
      <c r="AD136" s="7" t="inlineStr">
        <is>
          <t>2</t>
        </is>
      </c>
      <c r="AE136" s="7" t="inlineStr">
        <is>
          <t>0</t>
        </is>
      </c>
      <c r="AF136" s="7" t="inlineStr">
        <is>
          <t>Générique / Multi-éditeurs / Sans dominante</t>
        </is>
      </c>
      <c r="AG136" s="7" t="inlineStr">
        <is>
          <t>déduit</t>
        </is>
      </c>
      <c r="AH136" s="12" t="inlineStr">
        <is>
          <t>Deduit du secteur (axe 1)</t>
        </is>
      </c>
      <c r="AI136" s="7" t="inlineStr">
        <is>
          <t>2</t>
        </is>
      </c>
      <c r="AJ136" s="7" t="inlineStr">
        <is>
          <t>16-40</t>
        </is>
      </c>
      <c r="AK136" s="8" t="inlineStr">
        <is>
          <t>estimé</t>
        </is>
      </c>
      <c r="AL136" s="7" t="inlineStr">
        <is>
          <t>estimation : 10 a 30 participants</t>
        </is>
      </c>
      <c r="AM136" s="11" t="inlineStr">
        <is>
          <t>Modele de format (atelier ou formation en chambre de commerce), fourchette 10-30, plafonnee par la capacite du lieu (CCI Val-d'Oise, 35 boulevard du Port ~ 120)</t>
        </is>
      </c>
      <c r="AN136" s="7" t="inlineStr">
        <is>
          <t>moyenne</t>
        </is>
      </c>
      <c r="AO136" s="7" t="inlineStr">
        <is>
          <t>1</t>
        </is>
      </c>
      <c r="AP136" s="7" t="inlineStr">
        <is>
          <t>Décideurs PME/ETI</t>
        </is>
      </c>
      <c r="AQ136" s="8" t="inlineStr">
        <is>
          <t>estimé</t>
        </is>
      </c>
      <c r="AR136" s="12" t="inlineStr">
        <is>
          <t>Organisateur CCI : public cible structurel de dirigeants et collaborateurs de TPE-PME</t>
        </is>
      </c>
      <c r="AS136" s="7" t="inlineStr">
        <is>
          <t>2</t>
        </is>
      </c>
      <c r="AT136" s="7" t="inlineStr">
        <is>
          <t>Moyen</t>
        </is>
      </c>
      <c r="AU136" s="7" t="inlineStr">
        <is>
          <t>constaté</t>
        </is>
      </c>
      <c r="AV136" s="12" t="inlineStr"/>
      <c r="AW136" s="7" t="inlineStr">
        <is>
          <t>S:4|15 L:0 N:2 P:1 A:2</t>
        </is>
      </c>
    </row>
    <row r="137">
      <c r="A137" s="10" t="inlineStr">
        <is>
          <t>Architect@Work Paris 2026</t>
        </is>
      </c>
      <c r="B137" s="10" t="inlineStr">
        <is>
          <t>non identifié publiquement</t>
        </is>
      </c>
      <c r="C137" s="10" t="inlineStr">
        <is>
          <t>2026-10-21</t>
        </is>
      </c>
      <c r="D137" s="10" t="inlineStr">
        <is>
          <t>2026-10-22</t>
        </is>
      </c>
      <c r="E137" s="10" t="inlineStr"/>
      <c r="F137" s="10" t="inlineStr">
        <is>
          <t>annuel</t>
        </is>
      </c>
      <c r="G137" s="10" t="inlineStr">
        <is>
          <t>Grande Halle de la Villette</t>
        </is>
      </c>
      <c r="H137" s="10" t="inlineStr">
        <is>
          <t>Paris 19e</t>
        </is>
      </c>
      <c r="I137" s="10" t="inlineStr">
        <is>
          <t>75</t>
        </is>
      </c>
      <c r="J137" s="10" t="inlineStr">
        <is>
          <t>présentiel</t>
        </is>
      </c>
      <c r="K137" s="11" t="inlineStr">
        <is>
          <t>Salon dédié à la promotion de l'innovation auprès des architectes, architectes d'intérieur et autres prescripteurs de la région Ile-de-France.</t>
        </is>
      </c>
      <c r="L137" s="11" t="inlineStr">
        <is>
          <t>Visitorat : réservé aux professionnels (fiche CCI Paris Ile-de-France)</t>
        </is>
      </c>
      <c r="M137" s="10" t="inlineStr">
        <is>
          <t>Habitat, aménagement de la maison, du bureau, décoration, cadeaux et artisanat</t>
        </is>
      </c>
      <c r="N137" s="10" t="inlineStr">
        <is>
          <t>non identifié publiquement</t>
        </is>
      </c>
      <c r="O137" s="10" t="inlineStr">
        <is>
          <t>non identifié publiquement</t>
        </is>
      </c>
      <c r="P137" s="10" t="inlineStr"/>
      <c r="Q137" s="11" t="inlineStr"/>
      <c r="R137" s="10" t="inlineStr">
        <is>
          <t>inscription libre</t>
        </is>
      </c>
      <c r="S137" s="10" t="inlineStr">
        <is>
          <t>oui</t>
        </is>
      </c>
      <c r="T137" s="11" t="inlineStr">
        <is>
          <t>Salon sur invitation reserve aux architectes, prescripteurs et professionnels de la conception</t>
        </is>
      </c>
      <c r="U137" s="10" t="inlineStr">
        <is>
          <t>non identifié publiquement</t>
        </is>
      </c>
      <c r="V137" s="10" t="inlineStr">
        <is>
          <t>https://www.cci-paris-idf.fr/fr/evenements-salons/salons-foires-paris-ile-de-france/architectwork-paris</t>
        </is>
      </c>
      <c r="W137" s="10" t="inlineStr">
        <is>
          <t>2026-09-15</t>
        </is>
      </c>
      <c r="X137" s="11" t="inlineStr"/>
      <c r="Y137" s="7" t="inlineStr">
        <is>
          <t>2</t>
        </is>
      </c>
      <c r="Z137" s="7" t="inlineStr">
        <is>
          <t>Immobilier / Construction / BTP</t>
        </is>
      </c>
      <c r="AA137" s="7" t="inlineStr"/>
      <c r="AB137" s="7" t="inlineStr"/>
      <c r="AC137" s="7" t="inlineStr">
        <is>
          <t>4|3</t>
        </is>
      </c>
      <c r="AD137" s="7" t="inlineStr">
        <is>
          <t>3</t>
        </is>
      </c>
      <c r="AE137" s="7" t="inlineStr">
        <is>
          <t>0</t>
        </is>
      </c>
      <c r="AF137" s="7" t="inlineStr">
        <is>
          <t>Générique / Multi-éditeurs / Sans dominante</t>
        </is>
      </c>
      <c r="AG137" s="8" t="inlineStr">
        <is>
          <t>estimé</t>
        </is>
      </c>
      <c r="AH137" s="12" t="inlineStr">
        <is>
          <t>Aucune dimension logicielle dans le positionnement de l'organisateur : rattache au 0 (sans dominante) plutot que laisse vide, conformement a la demande de non-vide</t>
        </is>
      </c>
      <c r="AI137" s="7" t="inlineStr">
        <is>
          <t>6</t>
        </is>
      </c>
      <c r="AJ137" s="7" t="inlineStr">
        <is>
          <t>&gt;2000</t>
        </is>
      </c>
      <c r="AK137" s="8" t="inlineStr">
        <is>
          <t>estimé</t>
        </is>
      </c>
      <c r="AL137" s="7" t="inlineStr">
        <is>
          <t>estimation : 3000 a 7000 participants</t>
        </is>
      </c>
      <c r="AM137" s="11" t="inlineStr">
        <is>
          <t>Modele de format (salon professionnel en parc d'exposition), fourchette 3000-7000, plafonnee par la capacite du lieu (Grande Halle de la Villette ~ 7000)</t>
        </is>
      </c>
      <c r="AN137" s="7" t="inlineStr">
        <is>
          <t>moyenne</t>
        </is>
      </c>
      <c r="AO137" s="7" t="inlineStr">
        <is>
          <t>4|3</t>
        </is>
      </c>
      <c r="AP137" s="7" t="inlineStr">
        <is>
          <t>Partenaires / Prescripteurs / Consultants / Intégrateurs + Opérationnels / Utilisateurs métier</t>
        </is>
      </c>
      <c r="AQ137" s="7" t="inlineStr">
        <is>
          <t>constaté</t>
        </is>
      </c>
      <c r="AR137" s="12" t="inlineStr"/>
      <c r="AS137" s="7" t="inlineStr">
        <is>
          <t>3</t>
        </is>
      </c>
      <c r="AT137" s="7" t="inlineStr">
        <is>
          <t>Difficile</t>
        </is>
      </c>
      <c r="AU137" s="7" t="inlineStr">
        <is>
          <t>constaté</t>
        </is>
      </c>
      <c r="AV137" s="12" t="inlineStr"/>
      <c r="AW137" s="7" t="inlineStr">
        <is>
          <t>S:2 L:0 N:6 P:4|3 A:3</t>
        </is>
      </c>
    </row>
    <row r="138">
      <c r="A138" s="10" t="inlineStr">
        <is>
          <t>Les Rendez-vous Carnot 2026</t>
        </is>
      </c>
      <c r="B138" s="10" t="inlineStr">
        <is>
          <t>Reseau des instituts Carnot / Proximum Group</t>
        </is>
      </c>
      <c r="C138" s="10" t="inlineStr">
        <is>
          <t>2026-10-21</t>
        </is>
      </c>
      <c r="D138" s="10" t="inlineStr">
        <is>
          <t>2026-10-22</t>
        </is>
      </c>
      <c r="E138" s="10" t="inlineStr"/>
      <c r="F138" s="10" t="inlineStr">
        <is>
          <t>annuel</t>
        </is>
      </c>
      <c r="G138" s="10" t="inlineStr">
        <is>
          <t>Espace Champerret</t>
        </is>
      </c>
      <c r="H138" s="10" t="inlineStr">
        <is>
          <t>Paris 17e</t>
        </is>
      </c>
      <c r="I138" s="10" t="inlineStr">
        <is>
          <t>75</t>
        </is>
      </c>
      <c r="J138" s="10" t="inlineStr">
        <is>
          <t>présentiel</t>
        </is>
      </c>
      <c r="K138" s="11" t="inlineStr">
        <is>
          <t>Rendez-vous de la R&amp;D pour les entreprises : rencontres d'affaires entre entreprises et laboratoires de recherche.</t>
        </is>
      </c>
      <c r="L138" s="11" t="inlineStr">
        <is>
          <t>Visitorat : réservé aux professionnels (fiche CCI Paris Ile-de-France)</t>
        </is>
      </c>
      <c r="M138" s="10" t="inlineStr">
        <is>
          <t>Commerce, relations internationales et services aux entreprises (voyages d'affaires et de stimulation, etc.)</t>
        </is>
      </c>
      <c r="N138" s="10" t="inlineStr">
        <is>
          <t>non identifié publiquement</t>
        </is>
      </c>
      <c r="O138" s="10" t="inlineStr">
        <is>
          <t>non identifié publiquement</t>
        </is>
      </c>
      <c r="P138" s="10" t="inlineStr"/>
      <c r="Q138" s="11" t="inlineStr"/>
      <c r="R138" s="10" t="inlineStr">
        <is>
          <t>inscription libre</t>
        </is>
      </c>
      <c r="S138" s="10" t="inlineStr">
        <is>
          <t>non</t>
        </is>
      </c>
      <c r="T138" s="11" t="inlineStr"/>
      <c r="U138" s="10" t="inlineStr">
        <is>
          <t>non identifié publiquement</t>
        </is>
      </c>
      <c r="V138" s="10" t="inlineStr">
        <is>
          <t>https://www.cci-paris-idf.fr/fr/evenements-salons/salons-foires-paris-ile-de-france/les-rendez-vous-carnot-paris</t>
        </is>
      </c>
      <c r="W138" s="10" t="inlineStr">
        <is>
          <t>2026-09-15</t>
        </is>
      </c>
      <c r="X138" s="11" t="inlineStr">
        <is>
          <t>FORT ALIGNEMENT ICP : format de rendez-vous d'affaires R&amp;D oriente PME et ETI industrielles. Egalement rattachable a la famille F.</t>
        </is>
      </c>
      <c r="Y138" s="7" t="inlineStr">
        <is>
          <t>5</t>
        </is>
      </c>
      <c r="Z138" s="7" t="inlineStr">
        <is>
          <t>Commerce / Distribution / E-commerce</t>
        </is>
      </c>
      <c r="AA138" s="7" t="inlineStr"/>
      <c r="AB138" s="7" t="inlineStr"/>
      <c r="AC138" s="7" t="inlineStr"/>
      <c r="AD138" s="7" t="inlineStr">
        <is>
          <t>2</t>
        </is>
      </c>
      <c r="AE138" s="7" t="inlineStr">
        <is>
          <t>0</t>
        </is>
      </c>
      <c r="AF138" s="7" t="inlineStr">
        <is>
          <t>Générique / Multi-éditeurs / Sans dominante</t>
        </is>
      </c>
      <c r="AG138" s="8" t="inlineStr">
        <is>
          <t>estimé</t>
        </is>
      </c>
      <c r="AH138" s="12" t="inlineStr">
        <is>
          <t>Aucune dimension logicielle dans le positionnement de l'organisateur : rattache au 0 (sans dominante) plutot que laisse vide, conformement a la demande de non-vide</t>
        </is>
      </c>
      <c r="AI138" s="7" t="inlineStr">
        <is>
          <t>4</t>
        </is>
      </c>
      <c r="AJ138" s="7" t="inlineStr">
        <is>
          <t>121-400</t>
        </is>
      </c>
      <c r="AK138" s="8" t="inlineStr">
        <is>
          <t>estimé</t>
        </is>
      </c>
      <c r="AL138" s="7" t="inlineStr">
        <is>
          <t>estimation : 150 a 600 participants</t>
        </is>
      </c>
      <c r="AM138" s="11" t="inlineStr">
        <is>
          <t>Modele de format (colloque ou journee thematique), fourchette 150-600, plafonnee par la capacite du lieu (Espace Champerret ~ 6000)</t>
        </is>
      </c>
      <c r="AN138" s="7" t="inlineStr">
        <is>
          <t>moyenne</t>
        </is>
      </c>
      <c r="AO138" s="7" t="inlineStr">
        <is>
          <t>1</t>
        </is>
      </c>
      <c r="AP138" s="7" t="inlineStr">
        <is>
          <t>Décideurs PME/ETI</t>
        </is>
      </c>
      <c r="AQ138" s="8" t="inlineStr">
        <is>
          <t>estimé</t>
        </is>
      </c>
      <c r="AR138" s="12" t="inlineStr">
        <is>
          <t>Par defaut, evenement B2B francilien : decideurs PME/ETI</t>
        </is>
      </c>
      <c r="AS138" s="7" t="inlineStr">
        <is>
          <t>2</t>
        </is>
      </c>
      <c r="AT138" s="7" t="inlineStr">
        <is>
          <t>Moyen</t>
        </is>
      </c>
      <c r="AU138" s="7" t="inlineStr">
        <is>
          <t>constaté</t>
        </is>
      </c>
      <c r="AV138" s="12" t="inlineStr"/>
      <c r="AW138" s="7" t="inlineStr">
        <is>
          <t>S:5 L:0 N:4 P:1 A:2</t>
        </is>
      </c>
    </row>
    <row r="139">
      <c r="A139" s="10" t="inlineStr">
        <is>
          <t>BOOST CAMP Agents IA : pilotez votre entreprise avec l'intelligence artificielle</t>
        </is>
      </c>
      <c r="B139" s="10" t="inlineStr">
        <is>
          <t>CCI Paris Ile-de-France</t>
        </is>
      </c>
      <c r="C139" s="10" t="inlineStr">
        <is>
          <t>2026-10-22</t>
        </is>
      </c>
      <c r="D139" s="10" t="inlineStr"/>
      <c r="E139" s="10" t="inlineStr"/>
      <c r="F139" s="10" t="inlineStr">
        <is>
          <t>non identifié publiquement</t>
        </is>
      </c>
      <c r="G139" s="10" t="inlineStr">
        <is>
          <t>CCI Versailles-Yvelines, avenue de Paris</t>
        </is>
      </c>
      <c r="H139" s="10" t="inlineStr">
        <is>
          <t>Versailles</t>
        </is>
      </c>
      <c r="I139" s="10" t="inlineStr">
        <is>
          <t>78</t>
        </is>
      </c>
      <c r="J139" s="10" t="inlineStr">
        <is>
          <t>présentiel</t>
        </is>
      </c>
      <c r="K139" s="11" t="inlineStr">
        <is>
          <t>Parcours de pilotage d'entreprise par les agents IA.</t>
        </is>
      </c>
      <c r="L139" s="11" t="inlineStr">
        <is>
          <t>non identifié publiquement</t>
        </is>
      </c>
      <c r="M139" s="10" t="inlineStr">
        <is>
          <t>Tous secteurs</t>
        </is>
      </c>
      <c r="N139" s="10" t="inlineStr">
        <is>
          <t>Intelligence artificielle generative, agents IA, automatisation</t>
        </is>
      </c>
      <c r="O139" s="10" t="inlineStr">
        <is>
          <t>non identifié publiquement</t>
        </is>
      </c>
      <c r="P139" s="10" t="inlineStr"/>
      <c r="Q139" s="11" t="inlineStr"/>
      <c r="R139" s="10" t="inlineStr">
        <is>
          <t>candidature</t>
        </is>
      </c>
      <c r="S139" s="10" t="inlineStr">
        <is>
          <t>non</t>
        </is>
      </c>
      <c r="T139" s="11" t="inlineStr"/>
      <c r="U139" s="10" t="inlineStr">
        <is>
          <t>non identifié publiquement</t>
        </is>
      </c>
      <c r="V139" s="10" t="inlineStr">
        <is>
          <t>https://www.entreprises.cci-paris-idf.fr/evenements/boostcamp-agents-ia</t>
        </is>
      </c>
      <c r="W139" s="10" t="inlineStr">
        <is>
          <t>2026-09-15</t>
        </is>
      </c>
      <c r="X139" s="11" t="inlineStr">
        <is>
          <t>ATELIER IA : concurrence directe ou partenariat possible pour une offre de conseil IA aupres des PME. La CCI Paris IDF a industrialise une offre IA pour TPE-PME sur la periode.</t>
        </is>
      </c>
      <c r="Y139" s="7" t="inlineStr">
        <is>
          <t>16</t>
        </is>
      </c>
      <c r="Z139" s="7" t="inlineStr">
        <is>
          <t>IA / Intelligence artificielle</t>
        </is>
      </c>
      <c r="AA139" s="7" t="inlineStr">
        <is>
          <t>11</t>
        </is>
      </c>
      <c r="AB139" s="7" t="inlineStr"/>
      <c r="AC139" s="7" t="inlineStr"/>
      <c r="AD139" s="7" t="inlineStr">
        <is>
          <t>2</t>
        </is>
      </c>
      <c r="AE139" s="7" t="inlineStr">
        <is>
          <t>11</t>
        </is>
      </c>
      <c r="AF139" s="7" t="inlineStr">
        <is>
          <t>IA / Automatisation / No-code / Low-code</t>
        </is>
      </c>
      <c r="AG139" s="7" t="inlineStr">
        <is>
          <t>constaté</t>
        </is>
      </c>
      <c r="AH139" s="12" t="inlineStr"/>
      <c r="AI139" s="7" t="inlineStr">
        <is>
          <t>1</t>
        </is>
      </c>
      <c r="AJ139" s="7" t="inlineStr">
        <is>
          <t>1-15</t>
        </is>
      </c>
      <c r="AK139" s="8" t="inlineStr">
        <is>
          <t>estimé</t>
        </is>
      </c>
      <c r="AL139" s="7" t="inlineStr">
        <is>
          <t>estimation : 10 a 25 participants</t>
        </is>
      </c>
      <c r="AM139" s="11" t="inlineStr">
        <is>
          <t>Modele de format (parcours d'accompagnement sur candidature), fourchette 10-25, plafonnee par la capacite du lieu (CCI Versailles-Yvelines, avenue de Paris ~ 120)</t>
        </is>
      </c>
      <c r="AN139" s="7" t="inlineStr">
        <is>
          <t>moyenne</t>
        </is>
      </c>
      <c r="AO139" s="7" t="inlineStr">
        <is>
          <t>1</t>
        </is>
      </c>
      <c r="AP139" s="7" t="inlineStr">
        <is>
          <t>Décideurs PME/ETI</t>
        </is>
      </c>
      <c r="AQ139" s="8" t="inlineStr">
        <is>
          <t>estimé</t>
        </is>
      </c>
      <c r="AR139" s="12" t="inlineStr">
        <is>
          <t>Organisateur CCI : public cible structurel de dirigeants et collaborateurs de TPE-PME</t>
        </is>
      </c>
      <c r="AS139" s="7" t="inlineStr">
        <is>
          <t>2</t>
        </is>
      </c>
      <c r="AT139" s="7" t="inlineStr">
        <is>
          <t>Moyen</t>
        </is>
      </c>
      <c r="AU139" s="7" t="inlineStr">
        <is>
          <t>constaté</t>
        </is>
      </c>
      <c r="AV139" s="12" t="inlineStr"/>
      <c r="AW139" s="7" t="inlineStr">
        <is>
          <t>S:16 L:11 N:1 P:1 A:2</t>
        </is>
      </c>
    </row>
    <row r="140">
      <c r="A140" s="10" t="inlineStr">
        <is>
          <t>Boost Agent IA : concevez 5 agents IA au service de votre entreprise (session octobre-decembre)</t>
        </is>
      </c>
      <c r="B140" s="10" t="inlineStr">
        <is>
          <t>CCI Paris Ile-de-France</t>
        </is>
      </c>
      <c r="C140" s="10" t="inlineStr">
        <is>
          <t>2026-10-22</t>
        </is>
      </c>
      <c r="D140" s="10" t="inlineStr">
        <is>
          <t>2026-12-10</t>
        </is>
      </c>
      <c r="E140" s="10" t="inlineStr"/>
      <c r="F140" s="10" t="inlineStr">
        <is>
          <t>non identifié publiquement</t>
        </is>
      </c>
      <c r="G140" s="10" t="inlineStr">
        <is>
          <t>CCI Hauts-de-Seine - Coeur Defense, Tour A, 2e etage</t>
        </is>
      </c>
      <c r="H140" s="10" t="inlineStr">
        <is>
          <t>Courbevoie (quartier Paris La Defense)</t>
        </is>
      </c>
      <c r="I140" s="10" t="inlineStr">
        <is>
          <t>92</t>
        </is>
      </c>
      <c r="J140" s="10" t="inlineStr">
        <is>
          <t>présentiel</t>
        </is>
      </c>
      <c r="K140" s="11" t="inlineStr">
        <is>
          <t>Rendez-vous de demonstration et de prise en main d'agents IA sans developpement.</t>
        </is>
      </c>
      <c r="L140" s="11" t="inlineStr">
        <is>
          <t>non identifié publiquement</t>
        </is>
      </c>
      <c r="M140" s="10" t="inlineStr">
        <is>
          <t>Tous secteurs</t>
        </is>
      </c>
      <c r="N140" s="10" t="inlineStr">
        <is>
          <t>Intelligence artificielle generative, agents IA, automatisation</t>
        </is>
      </c>
      <c r="O140" s="10" t="inlineStr">
        <is>
          <t>non identifié publiquement</t>
        </is>
      </c>
      <c r="P140" s="10" t="inlineStr"/>
      <c r="Q140" s="11" t="inlineStr"/>
      <c r="R140" s="10" t="inlineStr">
        <is>
          <t>inscription libre</t>
        </is>
      </c>
      <c r="S140" s="10" t="inlineStr">
        <is>
          <t>non</t>
        </is>
      </c>
      <c r="T140" s="11" t="inlineStr"/>
      <c r="U140" s="10" t="inlineStr">
        <is>
          <t>non identifié publiquement</t>
        </is>
      </c>
      <c r="V140" s="10" t="inlineStr">
        <is>
          <t>https://www.entreprises.cci-paris-idf.fr/evenements/les-rendez-vous-de-lia-creer-des-agents-ia-sans-coder-et-gagnez-en-performance</t>
        </is>
      </c>
      <c r="W140" s="10" t="inlineStr">
        <is>
          <t>2026-09-15</t>
        </is>
      </c>
      <c r="X140" s="11" t="inlineStr">
        <is>
          <t>ATELIER IA : concurrence directe ou partenariat possible pour une offre de conseil IA aupres des PME. La CCI Paris IDF a industrialise une offre IA pour TPE-PME sur la periode.</t>
        </is>
      </c>
      <c r="Y140" s="7" t="inlineStr">
        <is>
          <t>16</t>
        </is>
      </c>
      <c r="Z140" s="7" t="inlineStr">
        <is>
          <t>IA / Intelligence artificielle</t>
        </is>
      </c>
      <c r="AA140" s="7" t="inlineStr">
        <is>
          <t>11</t>
        </is>
      </c>
      <c r="AB140" s="7" t="inlineStr"/>
      <c r="AC140" s="7" t="inlineStr"/>
      <c r="AD140" s="7" t="inlineStr">
        <is>
          <t>2</t>
        </is>
      </c>
      <c r="AE140" s="7" t="inlineStr">
        <is>
          <t>11</t>
        </is>
      </c>
      <c r="AF140" s="7" t="inlineStr">
        <is>
          <t>IA / Automatisation / No-code / Low-code</t>
        </is>
      </c>
      <c r="AG140" s="7" t="inlineStr">
        <is>
          <t>constaté</t>
        </is>
      </c>
      <c r="AH140" s="12" t="inlineStr"/>
      <c r="AI140" s="7" t="inlineStr">
        <is>
          <t>1</t>
        </is>
      </c>
      <c r="AJ140" s="7" t="inlineStr">
        <is>
          <t>1-15</t>
        </is>
      </c>
      <c r="AK140" s="8" t="inlineStr">
        <is>
          <t>estimé</t>
        </is>
      </c>
      <c r="AL140" s="7" t="inlineStr">
        <is>
          <t>estimation : 10 a 25 participants</t>
        </is>
      </c>
      <c r="AM140" s="11" t="inlineStr">
        <is>
          <t>Modele de format (parcours d'accompagnement sur candidature), fourchette 10-25, plafonnee par la capacite du lieu (CCI Hauts-de-Seine - Coeur Defense, Tour ~ 120)</t>
        </is>
      </c>
      <c r="AN140" s="7" t="inlineStr">
        <is>
          <t>moyenne</t>
        </is>
      </c>
      <c r="AO140" s="7" t="inlineStr">
        <is>
          <t>1</t>
        </is>
      </c>
      <c r="AP140" s="7" t="inlineStr">
        <is>
          <t>Décideurs PME/ETI</t>
        </is>
      </c>
      <c r="AQ140" s="8" t="inlineStr">
        <is>
          <t>estimé</t>
        </is>
      </c>
      <c r="AR140" s="12" t="inlineStr">
        <is>
          <t>Organisateur CCI : public cible structurel de dirigeants et collaborateurs de TPE-PME</t>
        </is>
      </c>
      <c r="AS140" s="7" t="inlineStr">
        <is>
          <t>2</t>
        </is>
      </c>
      <c r="AT140" s="7" t="inlineStr">
        <is>
          <t>Moyen</t>
        </is>
      </c>
      <c r="AU140" s="7" t="inlineStr">
        <is>
          <t>constaté</t>
        </is>
      </c>
      <c r="AV140" s="12" t="inlineStr"/>
      <c r="AW140" s="7" t="inlineStr">
        <is>
          <t>S:16 L:11 N:1 P:1 A:2</t>
        </is>
      </c>
    </row>
    <row r="141">
      <c r="A141" s="10" t="inlineStr">
        <is>
          <t>M3AAWG General Meeting</t>
        </is>
      </c>
      <c r="B141" s="10" t="inlineStr">
        <is>
          <t>M3AAWG</t>
        </is>
      </c>
      <c r="C141" s="10" t="inlineStr">
        <is>
          <t>2026-10-25</t>
        </is>
      </c>
      <c r="D141" s="10" t="inlineStr">
        <is>
          <t>2026-10-29</t>
        </is>
      </c>
      <c r="E141" s="10" t="inlineStr"/>
      <c r="F141" s="10" t="inlineStr">
        <is>
          <t>non identifié publiquement</t>
        </is>
      </c>
      <c r="G141" s="10" t="inlineStr">
        <is>
          <t>Paris Marriott Rive Gauche Hotel &amp; Conference Center</t>
        </is>
      </c>
      <c r="H141" s="10" t="inlineStr">
        <is>
          <t>Paris (arrondissement selon le lieu)</t>
        </is>
      </c>
      <c r="I141" s="10" t="inlineStr">
        <is>
          <t>75</t>
        </is>
      </c>
      <c r="J141" s="10" t="inlineStr">
        <is>
          <t>présentiel</t>
        </is>
      </c>
      <c r="K141" s="11" t="inlineStr">
        <is>
          <t>M3AAWG General Meeting le 26 octobre 2026 à Paris. Consortium mondial contre malware, spam, phishing et attaques DDoS.</t>
        </is>
      </c>
      <c r="L141" s="11" t="inlineStr">
        <is>
          <t>non identifié publiquement</t>
        </is>
      </c>
      <c r="M141" s="10" t="inlineStr">
        <is>
          <t>Numerique, informatique, technologies</t>
        </is>
      </c>
      <c r="N141" s="10" t="inlineStr">
        <is>
          <t>non identifié publiquement</t>
        </is>
      </c>
      <c r="O141" s="10" t="inlineStr">
        <is>
          <t>non identifié publiquement</t>
        </is>
      </c>
      <c r="P141" s="10" t="inlineStr"/>
      <c r="Q141" s="11" t="inlineStr"/>
      <c r="R141" s="10" t="inlineStr">
        <is>
          <t>non identifié publiquement</t>
        </is>
      </c>
      <c r="S141" s="10" t="inlineStr">
        <is>
          <t>non</t>
        </is>
      </c>
      <c r="T141" s="11" t="inlineStr"/>
      <c r="U141" s="10" t="inlineStr">
        <is>
          <t>non identifié publiquement</t>
        </is>
      </c>
      <c r="V141" s="10" t="inlineStr">
        <is>
          <t>https://www.agenda-tech.com/events/m3aawg-general-meeting-2026</t>
        </is>
      </c>
      <c r="W141" s="10" t="inlineStr">
        <is>
          <t>2026-09-15</t>
        </is>
      </c>
      <c r="X141" s="11" t="inlineStr">
        <is>
          <t>Identifie via l'agregateur specialise Agenda Tech (donnees structurees schema.org publiees par l'organisateur). ECART DE DATE SIGNALE : la donnee structuree porte 2026-10-25 alors que le descriptif de l'organisateur annonce 26 octobre 2026. Date structuree retenue, a verifier.</t>
        </is>
      </c>
      <c r="Y141" s="7" t="inlineStr">
        <is>
          <t>4</t>
        </is>
      </c>
      <c r="Z141" s="7" t="inlineStr">
        <is>
          <t>Tech / IT / Logiciels / Télécom</t>
        </is>
      </c>
      <c r="AA141" s="7" t="inlineStr">
        <is>
          <t>0</t>
        </is>
      </c>
      <c r="AB141" s="7" t="inlineStr"/>
      <c r="AC141" s="7" t="inlineStr"/>
      <c r="AD141" s="7" t="inlineStr"/>
      <c r="AE141" s="7" t="inlineStr">
        <is>
          <t>0</t>
        </is>
      </c>
      <c r="AF141" s="7" t="inlineStr">
        <is>
          <t>Générique / Multi-éditeurs / Sans dominante</t>
        </is>
      </c>
      <c r="AG141" s="7" t="inlineStr">
        <is>
          <t>déduit</t>
        </is>
      </c>
      <c r="AH141" s="12" t="inlineStr">
        <is>
          <t>Deduit du secteur (axe 1)</t>
        </is>
      </c>
      <c r="AI141" s="7" t="inlineStr">
        <is>
          <t>4</t>
        </is>
      </c>
      <c r="AJ141" s="7" t="inlineStr">
        <is>
          <t>121-400</t>
        </is>
      </c>
      <c r="AK141" s="8" t="inlineStr">
        <is>
          <t>estimé</t>
        </is>
      </c>
      <c r="AL141" s="7" t="inlineStr">
        <is>
          <t>estimation : 100 a 500 participants</t>
        </is>
      </c>
      <c r="AM141" s="11" t="inlineStr">
        <is>
          <t>Modele de format (format non caracterise), fourchette 100-500, plafonnee par la capacite du lieu (Paris Marriott Rive Gauche Hotel &amp; Confe ~ 600)</t>
        </is>
      </c>
      <c r="AN141" s="7" t="inlineStr">
        <is>
          <t>faible</t>
        </is>
      </c>
      <c r="AO141" s="7" t="inlineStr">
        <is>
          <t>1</t>
        </is>
      </c>
      <c r="AP141" s="7" t="inlineStr">
        <is>
          <t>Décideurs PME/ETI</t>
        </is>
      </c>
      <c r="AQ141" s="8" t="inlineStr">
        <is>
          <t>estimé</t>
        </is>
      </c>
      <c r="AR141" s="12" t="inlineStr">
        <is>
          <t>Par defaut, evenement B2B francilien : decideurs PME/ETI</t>
        </is>
      </c>
      <c r="AS141" s="7" t="inlineStr">
        <is>
          <t>2</t>
        </is>
      </c>
      <c r="AT141" s="7" t="inlineStr">
        <is>
          <t>Moyen</t>
        </is>
      </c>
      <c r="AU141" s="8" t="inlineStr">
        <is>
          <t>estimé</t>
        </is>
      </c>
      <c r="AV141" s="12" t="inlineStr">
        <is>
          <t>Billetterie en vente libre (mention 'Voir tarifs sur le site' chez Agenda Tech), sans gratuite confirmee</t>
        </is>
      </c>
      <c r="AW141" s="7" t="inlineStr">
        <is>
          <t>S:4 L:0 N:4 P:1 A:2</t>
        </is>
      </c>
    </row>
    <row r="142">
      <c r="A142" s="10" t="inlineStr">
        <is>
          <t>Directions EMEA 2026</t>
        </is>
      </c>
      <c r="B142" s="10" t="inlineStr">
        <is>
          <t>Directions for Partners</t>
        </is>
      </c>
      <c r="C142" s="10" t="inlineStr">
        <is>
          <t>2026-10-27</t>
        </is>
      </c>
      <c r="D142" s="10" t="inlineStr">
        <is>
          <t>2026-10-29</t>
        </is>
      </c>
      <c r="E142" s="10" t="inlineStr"/>
      <c r="F142" s="10" t="inlineStr">
        <is>
          <t>non identifié publiquement</t>
        </is>
      </c>
      <c r="G142" s="10" t="inlineStr">
        <is>
          <t>Palais des Congres d'Issy</t>
        </is>
      </c>
      <c r="H142" s="10" t="inlineStr">
        <is>
          <t>Issy-les-Moulineaux</t>
        </is>
      </c>
      <c r="I142" s="10" t="inlineStr">
        <is>
          <t>92</t>
        </is>
      </c>
      <c r="J142" s="10" t="inlineStr">
        <is>
          <t>présentiel</t>
        </is>
      </c>
      <c r="K142" s="11" t="inlineStr">
        <is>
          <t>Directions EMEA 2026 à Paris le 27 octobre. 3200+ professionnels, 208 speakers, 300+ sessions sur Dynamics 365 Business Central.</t>
        </is>
      </c>
      <c r="L142" s="11" t="inlineStr">
        <is>
          <t>non identifié publiquement</t>
        </is>
      </c>
      <c r="M142" s="10" t="inlineStr">
        <is>
          <t>Numerique, informatique, technologies</t>
        </is>
      </c>
      <c r="N142" s="10" t="inlineStr">
        <is>
          <t>non identifié publiquement</t>
        </is>
      </c>
      <c r="O142" s="10" t="inlineStr">
        <is>
          <t>non identifié publiquement</t>
        </is>
      </c>
      <c r="P142" s="10" t="inlineStr">
        <is>
          <t>ESTIME</t>
        </is>
      </c>
      <c r="Q142" s="11" t="inlineStr">
        <is>
          <t>Effectif attendu publie par l'agregateur specialise Agenda Tech pour cette edition</t>
        </is>
      </c>
      <c r="R142" s="10" t="inlineStr">
        <is>
          <t>non identifié publiquement</t>
        </is>
      </c>
      <c r="S142" s="10" t="inlineStr">
        <is>
          <t>non</t>
        </is>
      </c>
      <c r="T142" s="11" t="inlineStr"/>
      <c r="U142" s="10" t="inlineStr">
        <is>
          <t>non identifié publiquement</t>
        </is>
      </c>
      <c r="V142" s="10" t="inlineStr">
        <is>
          <t>https://www.agenda-tech.com/events/directions-emea-2026</t>
        </is>
      </c>
      <c r="W142" s="10" t="inlineStr">
        <is>
          <t>2026-09-15</t>
        </is>
      </c>
      <c r="X142" s="11" t="inlineStr">
        <is>
          <t>Identifie via l'agregateur specialise Agenda Tech (donnees structurees schema.org publiees par l'organisateur).</t>
        </is>
      </c>
      <c r="Y142" s="7" t="inlineStr">
        <is>
          <t>4</t>
        </is>
      </c>
      <c r="Z142" s="7" t="inlineStr">
        <is>
          <t>Tech / IT / Logiciels / Télécom</t>
        </is>
      </c>
      <c r="AA142" s="7" t="inlineStr">
        <is>
          <t>0</t>
        </is>
      </c>
      <c r="AB142" s="7" t="inlineStr"/>
      <c r="AC142" s="7" t="inlineStr"/>
      <c r="AD142" s="7" t="inlineStr"/>
      <c r="AE142" s="7" t="inlineStr">
        <is>
          <t>0</t>
        </is>
      </c>
      <c r="AF142" s="7" t="inlineStr">
        <is>
          <t>Générique / Multi-éditeurs / Sans dominante</t>
        </is>
      </c>
      <c r="AG142" s="7" t="inlineStr">
        <is>
          <t>déduit</t>
        </is>
      </c>
      <c r="AH142" s="12" t="inlineStr">
        <is>
          <t>Deduit du secteur (axe 1)</t>
        </is>
      </c>
      <c r="AI142" s="7" t="inlineStr">
        <is>
          <t>6</t>
        </is>
      </c>
      <c r="AJ142" s="7" t="inlineStr">
        <is>
          <t>&gt;2000</t>
        </is>
      </c>
      <c r="AK142" s="8" t="inlineStr">
        <is>
          <t>estimé</t>
        </is>
      </c>
      <c r="AL142" s="7" t="inlineStr">
        <is>
          <t>environ 3200 participants</t>
        </is>
      </c>
      <c r="AM142" s="11" t="inlineStr">
        <is>
          <t>Effectif attendu publie par Agenda Tech (agregateur specialise, chiffre de l'organisateur ou de l'agregateur)</t>
        </is>
      </c>
      <c r="AN142" s="7" t="inlineStr">
        <is>
          <t>moyenne</t>
        </is>
      </c>
      <c r="AO142" s="7" t="inlineStr">
        <is>
          <t>1</t>
        </is>
      </c>
      <c r="AP142" s="7" t="inlineStr">
        <is>
          <t>Décideurs PME/ETI</t>
        </is>
      </c>
      <c r="AQ142" s="8" t="inlineStr">
        <is>
          <t>estimé</t>
        </is>
      </c>
      <c r="AR142" s="12" t="inlineStr">
        <is>
          <t>Par defaut, evenement B2B francilien : decideurs PME/ETI</t>
        </is>
      </c>
      <c r="AS142" s="7" t="inlineStr">
        <is>
          <t>2</t>
        </is>
      </c>
      <c r="AT142" s="7" t="inlineStr">
        <is>
          <t>Moyen</t>
        </is>
      </c>
      <c r="AU142" s="8" t="inlineStr">
        <is>
          <t>estimé</t>
        </is>
      </c>
      <c r="AV142" s="12" t="inlineStr">
        <is>
          <t>Tarif payant publie par Agenda Tech</t>
        </is>
      </c>
      <c r="AW142" s="7" t="inlineStr">
        <is>
          <t>S:4 L:0 N:6 P:1 A:2</t>
        </is>
      </c>
    </row>
    <row r="143">
      <c r="A143" s="10" t="inlineStr">
        <is>
          <t>The International Conference on Communications and Future Internet</t>
        </is>
      </c>
      <c r="B143" s="10" t="inlineStr">
        <is>
          <t>ICCFI — Université de Haute-Alsace &amp; aivancity</t>
        </is>
      </c>
      <c r="C143" s="10" t="inlineStr">
        <is>
          <t>2026-10-28</t>
        </is>
      </c>
      <c r="D143" s="10" t="inlineStr">
        <is>
          <t>2026-10-31</t>
        </is>
      </c>
      <c r="E143" s="10" t="inlineStr"/>
      <c r="F143" s="10" t="inlineStr">
        <is>
          <t>non identifié publiquement</t>
        </is>
      </c>
      <c r="G143" s="10" t="inlineStr">
        <is>
          <t>non identifié publiquement</t>
        </is>
      </c>
      <c r="H143" s="10" t="inlineStr">
        <is>
          <t>Paris (arrondissement non communique)</t>
        </is>
      </c>
      <c r="I143" s="10" t="inlineStr">
        <is>
          <t>75</t>
        </is>
      </c>
      <c r="J143" s="10" t="inlineStr">
        <is>
          <t>présentiel</t>
        </is>
      </c>
      <c r="K143" s="11" t="inlineStr">
        <is>
          <t>ICCFI 2026 à Paris (29-31 oct). Conférence réunissant chercheurs et praticiens sur les réseaux de nouvelle génération et l'intelligence artificielle.</t>
        </is>
      </c>
      <c r="L143" s="11" t="inlineStr">
        <is>
          <t>non identifié publiquement</t>
        </is>
      </c>
      <c r="M143" s="10" t="inlineStr">
        <is>
          <t>Numerique, informatique, technologies</t>
        </is>
      </c>
      <c r="N143" s="10" t="inlineStr">
        <is>
          <t>The International Conference on Communications and Future Internet - ICCFI 2026 à Paris (29-31 oct). Conférence réunissant chercheurs et praticiens sur les réseaux de nouvelle gén</t>
        </is>
      </c>
      <c r="O143" s="10" t="inlineStr">
        <is>
          <t>non identifié publiquement</t>
        </is>
      </c>
      <c r="P143" s="10" t="inlineStr"/>
      <c r="Q143" s="11" t="inlineStr"/>
      <c r="R143" s="10" t="inlineStr">
        <is>
          <t>non identifié publiquement</t>
        </is>
      </c>
      <c r="S143" s="10" t="inlineStr">
        <is>
          <t>non</t>
        </is>
      </c>
      <c r="T143" s="11" t="inlineStr"/>
      <c r="U143" s="10" t="inlineStr">
        <is>
          <t>non identifié publiquement</t>
        </is>
      </c>
      <c r="V143" s="10" t="inlineStr">
        <is>
          <t>https://www.agenda-tech.com/events/the-international-conference-on-communications-and-future-internet-2026</t>
        </is>
      </c>
      <c r="W143" s="10" t="inlineStr">
        <is>
          <t>2026-09-15</t>
        </is>
      </c>
      <c r="X143" s="11" t="inlineStr">
        <is>
          <t>Identifie via l'agregateur specialise Agenda Tech (donnees structurees schema.org publiees par l'organisateur). ECART DE DATE SIGNALE : la donnee structuree porte 2026-10-28 alors que le descriptif de l'organisateur annonce 29-31 octobre 2026. Date structuree retenue, a verifier.</t>
        </is>
      </c>
      <c r="Y143" s="7" t="inlineStr">
        <is>
          <t>15|4</t>
        </is>
      </c>
      <c r="Z143" s="7" t="inlineStr">
        <is>
          <t>Médias / Communication / Culture / Divertissement + Tech / IT / Logiciels / Télécom</t>
        </is>
      </c>
      <c r="AA143" s="7" t="inlineStr">
        <is>
          <t>0</t>
        </is>
      </c>
      <c r="AB143" s="7" t="inlineStr"/>
      <c r="AC143" s="7" t="inlineStr">
        <is>
          <t>7</t>
        </is>
      </c>
      <c r="AD143" s="7" t="inlineStr"/>
      <c r="AE143" s="7" t="inlineStr">
        <is>
          <t>0</t>
        </is>
      </c>
      <c r="AF143" s="7" t="inlineStr">
        <is>
          <t>Générique / Multi-éditeurs / Sans dominante</t>
        </is>
      </c>
      <c r="AG143" s="7" t="inlineStr">
        <is>
          <t>déduit</t>
        </is>
      </c>
      <c r="AH143" s="12" t="inlineStr">
        <is>
          <t>Deduit du secteur (axe 1)</t>
        </is>
      </c>
      <c r="AI143" s="7" t="inlineStr">
        <is>
          <t>4</t>
        </is>
      </c>
      <c r="AJ143" s="7" t="inlineStr">
        <is>
          <t>121-400</t>
        </is>
      </c>
      <c r="AK143" s="8" t="inlineStr">
        <is>
          <t>estimé</t>
        </is>
      </c>
      <c r="AL143" s="7" t="inlineStr">
        <is>
          <t>estimation : 200 a 800 participants</t>
        </is>
      </c>
      <c r="AM143" s="11" t="inlineStr">
        <is>
          <t>Modele de format (conference technique ou sectorielle), fourchette 200-800</t>
        </is>
      </c>
      <c r="AN143" s="7" t="inlineStr">
        <is>
          <t>moyenne</t>
        </is>
      </c>
      <c r="AO143" s="7" t="inlineStr">
        <is>
          <t>7</t>
        </is>
      </c>
      <c r="AP143" s="7" t="inlineStr">
        <is>
          <t>Experts / Advisors / Associations professionnelles</t>
        </is>
      </c>
      <c r="AQ143" s="7" t="inlineStr">
        <is>
          <t>constaté</t>
        </is>
      </c>
      <c r="AR143" s="12" t="inlineStr"/>
      <c r="AS143" s="7" t="inlineStr">
        <is>
          <t>2</t>
        </is>
      </c>
      <c r="AT143" s="7" t="inlineStr">
        <is>
          <t>Moyen</t>
        </is>
      </c>
      <c r="AU143" s="8" t="inlineStr">
        <is>
          <t>estimé</t>
        </is>
      </c>
      <c r="AV143" s="12" t="inlineStr">
        <is>
          <t>Billetterie en vente libre (mention 'Voir tarifs sur le site' chez Agenda Tech), sans gratuite confirmee</t>
        </is>
      </c>
      <c r="AW143" s="7" t="inlineStr">
        <is>
          <t>S:15|4 L:0 N:4 P:7 A:2</t>
        </is>
      </c>
    </row>
    <row r="144">
      <c r="A144" s="10" t="inlineStr">
        <is>
          <t>Formation numerique : pilotez votre CRM a l'aide de l'IA</t>
        </is>
      </c>
      <c r="B144" s="10" t="inlineStr">
        <is>
          <t>CCI Paris Ile-de-France</t>
        </is>
      </c>
      <c r="C144" s="10" t="inlineStr">
        <is>
          <t>2026-10-29</t>
        </is>
      </c>
      <c r="D144" s="10" t="inlineStr"/>
      <c r="E144" s="10" t="inlineStr"/>
      <c r="F144" s="10" t="inlineStr">
        <is>
          <t>non identifié publiquement</t>
        </is>
      </c>
      <c r="G144" s="10" t="inlineStr">
        <is>
          <t>CCI Hauts-de-Seine - Coeur Defense, Tour A, 2e etage</t>
        </is>
      </c>
      <c r="H144" s="10" t="inlineStr">
        <is>
          <t>Courbevoie (quartier Paris La Defense)</t>
        </is>
      </c>
      <c r="I144" s="10" t="inlineStr">
        <is>
          <t>92</t>
        </is>
      </c>
      <c r="J144" s="10" t="inlineStr">
        <is>
          <t>présentiel</t>
        </is>
      </c>
      <c r="K144" s="11" t="inlineStr">
        <is>
          <t>Formation a l'exploitation d'un CRM assistee par l'IA.</t>
        </is>
      </c>
      <c r="L144" s="11" t="inlineStr">
        <is>
          <t>non identifié publiquement</t>
        </is>
      </c>
      <c r="M144" s="10" t="inlineStr">
        <is>
          <t>Tous secteurs</t>
        </is>
      </c>
      <c r="N144" s="10" t="inlineStr">
        <is>
          <t>CRM, intelligence artificielle appliquee a la relation client</t>
        </is>
      </c>
      <c r="O144" s="10" t="inlineStr">
        <is>
          <t>non identifié publiquement</t>
        </is>
      </c>
      <c r="P144" s="10" t="inlineStr"/>
      <c r="Q144" s="11" t="inlineStr"/>
      <c r="R144" s="10" t="inlineStr">
        <is>
          <t>inscription libre</t>
        </is>
      </c>
      <c r="S144" s="10" t="inlineStr">
        <is>
          <t>non</t>
        </is>
      </c>
      <c r="T144" s="11" t="inlineStr"/>
      <c r="U144" s="10" t="inlineStr">
        <is>
          <t>495 EUR TTC</t>
        </is>
      </c>
      <c r="V144" s="10" t="inlineStr">
        <is>
          <t>https://www.entreprises.cci-paris-idf.fr/evenements/formation-numerique-pilotez-votre-crm-laide-lia</t>
        </is>
      </c>
      <c r="W144" s="10" t="inlineStr">
        <is>
          <t>2026-09-15</t>
        </is>
      </c>
      <c r="X144" s="11" t="inlineStr">
        <is>
          <t>ATELIER IA : concurrence directe ou partenariat possible pour une offre de conseil IA aupres des PME. La CCI Paris IDF a industrialise une offre IA pour TPE-PME sur la periode.</t>
        </is>
      </c>
      <c r="Y144" s="7" t="inlineStr">
        <is>
          <t>16</t>
        </is>
      </c>
      <c r="Z144" s="7" t="inlineStr">
        <is>
          <t>IA / Intelligence artificielle</t>
        </is>
      </c>
      <c r="AA144" s="7" t="inlineStr">
        <is>
          <t>2</t>
        </is>
      </c>
      <c r="AB144" s="7" t="inlineStr"/>
      <c r="AC144" s="7" t="inlineStr"/>
      <c r="AD144" s="7" t="inlineStr">
        <is>
          <t>2</t>
        </is>
      </c>
      <c r="AE144" s="7" t="inlineStr">
        <is>
          <t>2</t>
        </is>
      </c>
      <c r="AF144" s="7" t="inlineStr">
        <is>
          <t>CRM / Vente / Relation client</t>
        </is>
      </c>
      <c r="AG144" s="7" t="inlineStr">
        <is>
          <t>constaté</t>
        </is>
      </c>
      <c r="AH144" s="12" t="inlineStr"/>
      <c r="AI144" s="7" t="inlineStr">
        <is>
          <t>2</t>
        </is>
      </c>
      <c r="AJ144" s="7" t="inlineStr">
        <is>
          <t>16-40</t>
        </is>
      </c>
      <c r="AK144" s="8" t="inlineStr">
        <is>
          <t>estimé</t>
        </is>
      </c>
      <c r="AL144" s="7" t="inlineStr">
        <is>
          <t>estimation : 10 a 30 participants</t>
        </is>
      </c>
      <c r="AM144" s="11" t="inlineStr">
        <is>
          <t>Modele de format (atelier ou formation en chambre de commerce), fourchette 10-30, plafonnee par la capacite du lieu (CCI Hauts-de-Seine - Coeur Defense, Tour ~ 120)</t>
        </is>
      </c>
      <c r="AN144" s="7" t="inlineStr">
        <is>
          <t>moyenne</t>
        </is>
      </c>
      <c r="AO144" s="7" t="inlineStr">
        <is>
          <t>1</t>
        </is>
      </c>
      <c r="AP144" s="7" t="inlineStr">
        <is>
          <t>Décideurs PME/ETI</t>
        </is>
      </c>
      <c r="AQ144" s="8" t="inlineStr">
        <is>
          <t>estimé</t>
        </is>
      </c>
      <c r="AR144" s="12" t="inlineStr">
        <is>
          <t>Organisateur CCI : public cible structurel de dirigeants et collaborateurs de TPE-PME</t>
        </is>
      </c>
      <c r="AS144" s="7" t="inlineStr">
        <is>
          <t>2</t>
        </is>
      </c>
      <c r="AT144" s="7" t="inlineStr">
        <is>
          <t>Moyen</t>
        </is>
      </c>
      <c r="AU144" s="7" t="inlineStr">
        <is>
          <t>constaté</t>
        </is>
      </c>
      <c r="AV144" s="12" t="inlineStr"/>
      <c r="AW144" s="7" t="inlineStr">
        <is>
          <t>S:16 L:2 N:2 P:1 A:2</t>
        </is>
      </c>
    </row>
    <row r="145">
      <c r="A145" s="10" t="inlineStr">
        <is>
          <t>Salon International du Patrimoine Culturel 2026</t>
        </is>
      </c>
      <c r="B145" s="10" t="inlineStr">
        <is>
          <t>Ateliers d'Art de France</t>
        </is>
      </c>
      <c r="C145" s="10" t="inlineStr">
        <is>
          <t>2026-10-29</t>
        </is>
      </c>
      <c r="D145" s="10" t="inlineStr">
        <is>
          <t>2026-11-01</t>
        </is>
      </c>
      <c r="E145" s="10" t="inlineStr"/>
      <c r="F145" s="10" t="inlineStr">
        <is>
          <t>annuel</t>
        </is>
      </c>
      <c r="G145" s="10" t="inlineStr">
        <is>
          <t>Carrousel du Louvre</t>
        </is>
      </c>
      <c r="H145" s="10" t="inlineStr">
        <is>
          <t>Paris 1er</t>
        </is>
      </c>
      <c r="I145" s="10" t="inlineStr">
        <is>
          <t>75</t>
        </is>
      </c>
      <c r="J145" s="10" t="inlineStr">
        <is>
          <t>présentiel</t>
        </is>
      </c>
      <c r="K145" s="11" t="inlineStr">
        <is>
          <t>Salon des professionnels et passionnés du patrimoine</t>
        </is>
      </c>
      <c r="L145" s="11" t="inlineStr">
        <is>
          <t>Visitorat : réservé aux professionnels (fiche CCI Paris Ile-de-France)</t>
        </is>
      </c>
      <c r="M145" s="10" t="inlineStr">
        <is>
          <t>Art, culture, musique, spectacles</t>
        </is>
      </c>
      <c r="N145" s="10" t="inlineStr">
        <is>
          <t>non identifié publiquement</t>
        </is>
      </c>
      <c r="O145" s="10" t="inlineStr">
        <is>
          <t>non identifié publiquement</t>
        </is>
      </c>
      <c r="P145" s="10" t="inlineStr">
        <is>
          <t>CONFIRME</t>
        </is>
      </c>
      <c r="Q145" s="11" t="inlineStr">
        <is>
          <t>Chiffre annonce pour l'edition 2026 au Carrousel du Louvre, relaye par jds.fr et tpeactu.fr</t>
        </is>
      </c>
      <c r="R145" s="10" t="inlineStr">
        <is>
          <t>billet payant</t>
        </is>
      </c>
      <c r="S145" s="10" t="inlineStr">
        <is>
          <t>non</t>
        </is>
      </c>
      <c r="T145" s="11" t="inlineStr"/>
      <c r="U145" s="10" t="inlineStr">
        <is>
          <t>non identifié publiquement</t>
        </is>
      </c>
      <c r="V145" s="10" t="inlineStr">
        <is>
          <t>https://www.cci-paris-idf.fr/fr/evenements-salons/salons-foires-paris-ile-de-france/salon-international-du-patrimoine-culturel</t>
        </is>
      </c>
      <c r="W145" s="10" t="inlineStr">
        <is>
          <t>2026-09-15</t>
        </is>
      </c>
      <c r="X145" s="11" t="inlineStr">
        <is>
          <t>Public mixte 'professionnels et passionnes' selon l'organisateur ; la fiche CCI le classe reserve aux professionnels. Pas de journee pro distincte identifiee.</t>
        </is>
      </c>
      <c r="Y145" s="7" t="inlineStr">
        <is>
          <t>15</t>
        </is>
      </c>
      <c r="Z145" s="7" t="inlineStr">
        <is>
          <t>Médias / Communication / Culture / Divertissement</t>
        </is>
      </c>
      <c r="AA145" s="7" t="inlineStr"/>
      <c r="AB145" s="7" t="inlineStr"/>
      <c r="AC145" s="7" t="inlineStr"/>
      <c r="AD145" s="7" t="inlineStr">
        <is>
          <t>2</t>
        </is>
      </c>
      <c r="AE145" s="7" t="inlineStr">
        <is>
          <t>0</t>
        </is>
      </c>
      <c r="AF145" s="7" t="inlineStr">
        <is>
          <t>Générique / Multi-éditeurs / Sans dominante</t>
        </is>
      </c>
      <c r="AG145" s="8" t="inlineStr">
        <is>
          <t>estimé</t>
        </is>
      </c>
      <c r="AH145" s="12" t="inlineStr">
        <is>
          <t>Aucune dimension logicielle dans le positionnement de l'organisateur : rattache au 0 (sans dominante) plutot que laisse vide, conformement a la demande de non-vide</t>
        </is>
      </c>
      <c r="AI145" s="7" t="inlineStr">
        <is>
          <t>6</t>
        </is>
      </c>
      <c r="AJ145" s="7" t="inlineStr">
        <is>
          <t>&gt;2000</t>
        </is>
      </c>
      <c r="AK145" s="7" t="inlineStr">
        <is>
          <t>constaté</t>
        </is>
      </c>
      <c r="AL145" s="7" t="inlineStr">
        <is>
          <t>environ 21 500 visiteurs attendus</t>
        </is>
      </c>
      <c r="AM145" s="11" t="inlineStr">
        <is>
          <t>Chiffre annonce pour l'edition 2026 au Carrousel du Louvre, relaye par jds.fr et tpeactu.fr</t>
        </is>
      </c>
      <c r="AN145" s="7" t="inlineStr">
        <is>
          <t>haute</t>
        </is>
      </c>
      <c r="AO145" s="7" t="inlineStr">
        <is>
          <t>3|4</t>
        </is>
      </c>
      <c r="AP145" s="7" t="inlineStr">
        <is>
          <t>Opérationnels / Utilisateurs métier + Partenaires / Prescripteurs / Consultants / Intégrateurs</t>
        </is>
      </c>
      <c r="AQ145" s="8" t="inlineStr">
        <is>
          <t>estimé</t>
        </is>
      </c>
      <c r="AR145" s="12" t="inlineStr">
        <is>
          <t>Salon professionnel sectoriel : operationnels du secteur et prescripteurs</t>
        </is>
      </c>
      <c r="AS145" s="7" t="inlineStr">
        <is>
          <t>2</t>
        </is>
      </c>
      <c r="AT145" s="7" t="inlineStr">
        <is>
          <t>Moyen</t>
        </is>
      </c>
      <c r="AU145" s="7" t="inlineStr">
        <is>
          <t>constaté</t>
        </is>
      </c>
      <c r="AV145" s="12" t="inlineStr"/>
      <c r="AW145" s="7" t="inlineStr">
        <is>
          <t>S:15 L:0 N:6 P:3|4 A:2</t>
        </is>
      </c>
    </row>
    <row r="146">
      <c r="A146" s="10" t="inlineStr">
        <is>
          <t>EquipHotel Paris 2026</t>
        </is>
      </c>
      <c r="B146" s="10" t="inlineStr">
        <is>
          <t>RX France (Reed Exhibitions)</t>
        </is>
      </c>
      <c r="C146" s="10" t="inlineStr">
        <is>
          <t>2026-11-02</t>
        </is>
      </c>
      <c r="D146" s="10" t="inlineStr">
        <is>
          <t>2026-11-05</t>
        </is>
      </c>
      <c r="E146" s="10" t="inlineStr"/>
      <c r="F146" s="10" t="inlineStr">
        <is>
          <t>biennal (annees paires)</t>
        </is>
      </c>
      <c r="G146" s="10" t="inlineStr">
        <is>
          <t>Paris Expo Porte de Versailles</t>
        </is>
      </c>
      <c r="H146" s="10" t="inlineStr">
        <is>
          <t>Paris 15e</t>
        </is>
      </c>
      <c r="I146" s="10" t="inlineStr">
        <is>
          <t>75</t>
        </is>
      </c>
      <c r="J146" s="10" t="inlineStr">
        <is>
          <t>présentiel</t>
        </is>
      </c>
      <c r="K146" s="11" t="inlineStr">
        <is>
          <t>Salon de l'hotellerie et de la restauration sur 80 000 m2, structure en quatre univers : Design, Bien-etre, Tech &amp; Services, Foodservice.</t>
        </is>
      </c>
      <c r="L146" s="11" t="inlineStr">
        <is>
          <t>professionals of Hospitality : investisseurs, proprietaires, exploitants et prescripteurs de l'hotellerie-restauration</t>
        </is>
      </c>
      <c r="M146" s="10" t="inlineStr">
        <is>
          <t>Hotellerie, restauration, CHR, design, equipement</t>
        </is>
      </c>
      <c r="N146" s="10" t="inlineStr">
        <is>
          <t>Univers Tech &amp; Services (logiciels et services pour l'hotellerie-restauration)</t>
        </is>
      </c>
      <c r="O146" s="10" t="inlineStr">
        <is>
          <t>80 000 visiteurs professionnels, 1 200 exposants</t>
        </is>
      </c>
      <c r="P146" s="10" t="inlineStr">
        <is>
          <t>CONFIRME</t>
        </is>
      </c>
      <c r="Q146" s="11" t="inlineStr">
        <is>
          <t>Chiffres affiches par l'organisateur sur le site officiel de l'edition 2026</t>
        </is>
      </c>
      <c r="R146" s="10" t="inlineStr">
        <is>
          <t>inscription libre</t>
        </is>
      </c>
      <c r="S146" s="10" t="inlineStr">
        <is>
          <t>non</t>
        </is>
      </c>
      <c r="T146" s="11" t="inlineStr"/>
      <c r="U146" s="10" t="inlineStr">
        <is>
          <t>non identifié publiquement</t>
        </is>
      </c>
      <c r="V146" s="10" t="inlineStr">
        <is>
          <t>https://www.equiphotel.com/</t>
        </is>
      </c>
      <c r="W146" s="10" t="inlineStr">
        <is>
          <t>2026-09-15</t>
        </is>
      </c>
      <c r="X146" s="11" t="inlineStr">
        <is>
          <t>Salon biennal (annees paires). 133 pays representes selon l'organisateur. Badge en ligne obligatoire.</t>
        </is>
      </c>
      <c r="Y146" s="7" t="inlineStr">
        <is>
          <t>14</t>
        </is>
      </c>
      <c r="Z146" s="7" t="inlineStr">
        <is>
          <t>Hôtellerie / Restauration / Tourisme</t>
        </is>
      </c>
      <c r="AA146" s="7" t="inlineStr"/>
      <c r="AB146" s="7" t="inlineStr">
        <is>
          <t>6</t>
        </is>
      </c>
      <c r="AC146" s="7" t="inlineStr">
        <is>
          <t>6|4</t>
        </is>
      </c>
      <c r="AD146" s="7" t="inlineStr">
        <is>
          <t>2</t>
        </is>
      </c>
      <c r="AE146" s="7" t="inlineStr">
        <is>
          <t>0</t>
        </is>
      </c>
      <c r="AF146" s="7" t="inlineStr">
        <is>
          <t>Générique / Multi-éditeurs / Sans dominante</t>
        </is>
      </c>
      <c r="AG146" s="8" t="inlineStr">
        <is>
          <t>estimé</t>
        </is>
      </c>
      <c r="AH146" s="12" t="inlineStr">
        <is>
          <t>Dimension logicielle plausible mais non documentee : rattache au 0 (sans dominante)</t>
        </is>
      </c>
      <c r="AI146" s="7" t="inlineStr">
        <is>
          <t>6</t>
        </is>
      </c>
      <c r="AJ146" s="7" t="inlineStr">
        <is>
          <t>&gt;2000</t>
        </is>
      </c>
      <c r="AK146" s="7" t="inlineStr">
        <is>
          <t>constaté</t>
        </is>
      </c>
      <c r="AL146" s="7" t="inlineStr">
        <is>
          <t>80 000 visiteurs professionnels, 1 200 exposants</t>
        </is>
      </c>
      <c r="AM146" s="11" t="inlineStr">
        <is>
          <t>Chiffre publie par l'organisateur (colonne taille_source)</t>
        </is>
      </c>
      <c r="AN146" s="7" t="inlineStr">
        <is>
          <t>haute</t>
        </is>
      </c>
      <c r="AO146" s="7" t="inlineStr">
        <is>
          <t>6|4</t>
        </is>
      </c>
      <c r="AP146" s="7" t="inlineStr">
        <is>
          <t>Investisseurs / Écosystème financement + Partenaires / Prescripteurs / Consultants / Intégrateurs</t>
        </is>
      </c>
      <c r="AQ146" s="7" t="inlineStr">
        <is>
          <t>constaté</t>
        </is>
      </c>
      <c r="AR146" s="12" t="inlineStr"/>
      <c r="AS146" s="7" t="inlineStr">
        <is>
          <t>2</t>
        </is>
      </c>
      <c r="AT146" s="7" t="inlineStr">
        <is>
          <t>Moyen</t>
        </is>
      </c>
      <c r="AU146" s="7" t="inlineStr">
        <is>
          <t>constaté</t>
        </is>
      </c>
      <c r="AV146" s="12" t="inlineStr"/>
      <c r="AW146" s="7" t="inlineStr">
        <is>
          <t>S:14 L:0 N:6 P:6|4 A:2</t>
        </is>
      </c>
    </row>
    <row r="147">
      <c r="A147" s="10" t="inlineStr">
        <is>
          <t>Swift Connection X (10ème édition)</t>
        </is>
      </c>
      <c r="B147" s="10" t="inlineStr">
        <is>
          <t>La Tech Connection</t>
        </is>
      </c>
      <c r="C147" s="10" t="inlineStr">
        <is>
          <t>2026-11-02</t>
        </is>
      </c>
      <c r="D147" s="10" t="inlineStr">
        <is>
          <t>2026-11-03</t>
        </is>
      </c>
      <c r="E147" s="10" t="inlineStr"/>
      <c r="F147" s="10" t="inlineStr">
        <is>
          <t>non identifié publiquement</t>
        </is>
      </c>
      <c r="G147" s="10" t="inlineStr">
        <is>
          <t>Théâtre de Paris, 15 Rue Blanche, 75009 Paris</t>
        </is>
      </c>
      <c r="H147" s="10" t="inlineStr">
        <is>
          <t>Paris (arrondissement selon le lieu)</t>
        </is>
      </c>
      <c r="I147" s="10" t="inlineStr">
        <is>
          <t>75</t>
        </is>
      </c>
      <c r="J147" s="10" t="inlineStr">
        <is>
          <t>présentiel</t>
        </is>
      </c>
      <c r="K147" s="11" t="inlineStr">
        <is>
          <t>Swift Connection X, 10ème édition de la conférence Swift et Apple platforms. 2-3 novembre 2026 à Paris. Talks, networking et événements sociaux.</t>
        </is>
      </c>
      <c r="L147" s="11" t="inlineStr">
        <is>
          <t>non identifié publiquement</t>
        </is>
      </c>
      <c r="M147" s="10" t="inlineStr">
        <is>
          <t>Numerique, informatique, technologies</t>
        </is>
      </c>
      <c r="N147" s="10" t="inlineStr">
        <is>
          <t>non identifié publiquement</t>
        </is>
      </c>
      <c r="O147" s="10" t="inlineStr">
        <is>
          <t>non identifié publiquement</t>
        </is>
      </c>
      <c r="P147" s="10" t="inlineStr"/>
      <c r="Q147" s="11" t="inlineStr"/>
      <c r="R147" s="10" t="inlineStr">
        <is>
          <t>non identifié publiquement</t>
        </is>
      </c>
      <c r="S147" s="10" t="inlineStr">
        <is>
          <t>non</t>
        </is>
      </c>
      <c r="T147" s="11" t="inlineStr"/>
      <c r="U147" s="10" t="inlineStr">
        <is>
          <t>non identifié publiquement</t>
        </is>
      </c>
      <c r="V147" s="10" t="inlineStr">
        <is>
          <t>https://www.agenda-tech.com/events/swift-connection-x-10eme-edition-2026</t>
        </is>
      </c>
      <c r="W147" s="10" t="inlineStr">
        <is>
          <t>2026-09-15</t>
        </is>
      </c>
      <c r="X147" s="11" t="inlineStr">
        <is>
          <t>Identifie via l'agregateur specialise Agenda Tech (donnees structurees schema.org publiees par l'organisateur).</t>
        </is>
      </c>
      <c r="Y147" s="7" t="inlineStr">
        <is>
          <t>4</t>
        </is>
      </c>
      <c r="Z147" s="7" t="inlineStr">
        <is>
          <t>Tech / IT / Logiciels / Télécom</t>
        </is>
      </c>
      <c r="AA147" s="7" t="inlineStr">
        <is>
          <t>0</t>
        </is>
      </c>
      <c r="AB147" s="7" t="inlineStr"/>
      <c r="AC147" s="7" t="inlineStr"/>
      <c r="AD147" s="7" t="inlineStr"/>
      <c r="AE147" s="7" t="inlineStr">
        <is>
          <t>0</t>
        </is>
      </c>
      <c r="AF147" s="7" t="inlineStr">
        <is>
          <t>Générique / Multi-éditeurs / Sans dominante</t>
        </is>
      </c>
      <c r="AG147" s="7" t="inlineStr">
        <is>
          <t>déduit</t>
        </is>
      </c>
      <c r="AH147" s="12" t="inlineStr">
        <is>
          <t>Deduit du secteur (axe 1)</t>
        </is>
      </c>
      <c r="AI147" s="7" t="inlineStr">
        <is>
          <t>4</t>
        </is>
      </c>
      <c r="AJ147" s="7" t="inlineStr">
        <is>
          <t>121-400</t>
        </is>
      </c>
      <c r="AK147" s="8" t="inlineStr">
        <is>
          <t>estimé</t>
        </is>
      </c>
      <c r="AL147" s="7" t="inlineStr">
        <is>
          <t>estimation : 200 a 800 participants</t>
        </is>
      </c>
      <c r="AM147" s="11" t="inlineStr">
        <is>
          <t>Modele de format (conference technique ou sectorielle), fourchette 200-800, plafonnee par la capacite du lieu (Théâtre de Paris, 15 Rue Blanche, 75009  ~ 1000)</t>
        </is>
      </c>
      <c r="AN147" s="7" t="inlineStr">
        <is>
          <t>moyenne</t>
        </is>
      </c>
      <c r="AO147" s="7" t="inlineStr">
        <is>
          <t>1</t>
        </is>
      </c>
      <c r="AP147" s="7" t="inlineStr">
        <is>
          <t>Décideurs PME/ETI</t>
        </is>
      </c>
      <c r="AQ147" s="8" t="inlineStr">
        <is>
          <t>estimé</t>
        </is>
      </c>
      <c r="AR147" s="12" t="inlineStr">
        <is>
          <t>Par defaut, evenement B2B francilien : decideurs PME/ETI</t>
        </is>
      </c>
      <c r="AS147" s="7" t="inlineStr">
        <is>
          <t>2</t>
        </is>
      </c>
      <c r="AT147" s="7" t="inlineStr">
        <is>
          <t>Moyen</t>
        </is>
      </c>
      <c r="AU147" s="8" t="inlineStr">
        <is>
          <t>estimé</t>
        </is>
      </c>
      <c r="AV147" s="12" t="inlineStr">
        <is>
          <t>Tarif payant publie par Agenda Tech</t>
        </is>
      </c>
      <c r="AW147" s="7" t="inlineStr">
        <is>
          <t>S:4 L:0 N:4 P:1 A:2</t>
        </is>
      </c>
    </row>
    <row r="148">
      <c r="A148" s="10" t="inlineStr">
        <is>
          <t>Euronaval 2026</t>
        </is>
      </c>
      <c r="B148" s="10" t="inlineStr">
        <is>
          <t>non identifié publiquement</t>
        </is>
      </c>
      <c r="C148" s="10" t="inlineStr">
        <is>
          <t>2026-11-03</t>
        </is>
      </c>
      <c r="D148" s="10" t="inlineStr">
        <is>
          <t>2026-11-06</t>
        </is>
      </c>
      <c r="E148" s="10" t="inlineStr"/>
      <c r="F148" s="10" t="inlineStr">
        <is>
          <t>biennal (annees paires)</t>
        </is>
      </c>
      <c r="G148" s="10" t="inlineStr">
        <is>
          <t>Paris Le Bourget - Parc des Expositions</t>
        </is>
      </c>
      <c r="H148" s="10" t="inlineStr">
        <is>
          <t>Le Bourget</t>
        </is>
      </c>
      <c r="I148" s="10" t="inlineStr">
        <is>
          <t>93</t>
        </is>
      </c>
      <c r="J148" s="10" t="inlineStr">
        <is>
          <t>présentiel</t>
        </is>
      </c>
      <c r="K148" s="11" t="inlineStr">
        <is>
          <t>Le mondial du naval de défense</t>
        </is>
      </c>
      <c r="L148" s="11" t="inlineStr">
        <is>
          <t>Visitorat : réservé aux professionnels (fiche CCI Paris Ile-de-France)</t>
        </is>
      </c>
      <c r="M148" s="10" t="inlineStr">
        <is>
          <t>Défense, sécurité civile et militaire</t>
        </is>
      </c>
      <c r="N148" s="10" t="inlineStr">
        <is>
          <t>non identifié publiquement</t>
        </is>
      </c>
      <c r="O148" s="10" t="inlineStr">
        <is>
          <t>non identifié publiquement</t>
        </is>
      </c>
      <c r="P148" s="10" t="inlineStr">
        <is>
          <t>CONFIRME</t>
        </is>
      </c>
      <c r="Q148" s="11" t="inlineStr">
        <is>
          <t>Chiffres annonces par l'organisateur pour la 30e edition (euronaval.com) et relayes par Defensehere</t>
        </is>
      </c>
      <c r="R148" s="10" t="inlineStr">
        <is>
          <t>candidature</t>
        </is>
      </c>
      <c r="S148" s="10" t="inlineStr">
        <is>
          <t>oui</t>
        </is>
      </c>
      <c r="T148" s="11" t="inlineStr">
        <is>
          <t>Salon de defense reserve aux professionnels accredites et aux delegations officielles</t>
        </is>
      </c>
      <c r="U148" s="10" t="inlineStr">
        <is>
          <t>non identifié publiquement</t>
        </is>
      </c>
      <c r="V148" s="10" t="inlineStr">
        <is>
          <t>https://www.cci-paris-idf.fr/fr/evenements-salons/salons-foires-paris-ile-de-france/euronaval</t>
        </is>
      </c>
      <c r="W148" s="10" t="inlineStr">
        <is>
          <t>2026-09-15</t>
        </is>
      </c>
      <c r="X148" s="11" t="inlineStr"/>
      <c r="Y148" s="7" t="inlineStr">
        <is>
          <t>3</t>
        </is>
      </c>
      <c r="Z148" s="7" t="inlineStr">
        <is>
          <t>Industrie / Manufacturing / Automobile / Aéronautique</t>
        </is>
      </c>
      <c r="AA148" s="7" t="inlineStr"/>
      <c r="AB148" s="7" t="inlineStr"/>
      <c r="AC148" s="7" t="inlineStr"/>
      <c r="AD148" s="7" t="inlineStr">
        <is>
          <t>2</t>
        </is>
      </c>
      <c r="AE148" s="7" t="inlineStr">
        <is>
          <t>0</t>
        </is>
      </c>
      <c r="AF148" s="7" t="inlineStr">
        <is>
          <t>Générique / Multi-éditeurs / Sans dominante</t>
        </is>
      </c>
      <c r="AG148" s="8" t="inlineStr">
        <is>
          <t>estimé</t>
        </is>
      </c>
      <c r="AH148" s="12" t="inlineStr">
        <is>
          <t>Aucune dimension logicielle dans le positionnement de l'organisateur : rattache au 0 (sans dominante) plutot que laisse vide, conformement a la demande de non-vide</t>
        </is>
      </c>
      <c r="AI148" s="7" t="inlineStr">
        <is>
          <t>6</t>
        </is>
      </c>
      <c r="AJ148" s="7" t="inlineStr">
        <is>
          <t>&gt;2000</t>
        </is>
      </c>
      <c r="AK148" s="7" t="inlineStr">
        <is>
          <t>constaté</t>
        </is>
      </c>
      <c r="AL148" s="7" t="inlineStr">
        <is>
          <t>26 000 visiteurs attendus, pres de 400 exposants</t>
        </is>
      </c>
      <c r="AM148" s="11" t="inlineStr">
        <is>
          <t>Chiffres annonces par l'organisateur pour la 30e edition (euronaval.com) et relayes par Defensehere</t>
        </is>
      </c>
      <c r="AN148" s="7" t="inlineStr">
        <is>
          <t>haute</t>
        </is>
      </c>
      <c r="AO148" s="7" t="inlineStr">
        <is>
          <t>1</t>
        </is>
      </c>
      <c r="AP148" s="7" t="inlineStr">
        <is>
          <t>Décideurs PME/ETI</t>
        </is>
      </c>
      <c r="AQ148" s="8" t="inlineStr">
        <is>
          <t>estimé</t>
        </is>
      </c>
      <c r="AR148" s="12" t="inlineStr">
        <is>
          <t>Par defaut, evenement B2B francilien : decideurs PME/ETI</t>
        </is>
      </c>
      <c r="AS148" s="7" t="inlineStr">
        <is>
          <t>2</t>
        </is>
      </c>
      <c r="AT148" s="7" t="inlineStr">
        <is>
          <t>Moyen</t>
        </is>
      </c>
      <c r="AU148" s="7" t="inlineStr">
        <is>
          <t>constaté</t>
        </is>
      </c>
      <c r="AV148" s="12" t="inlineStr"/>
      <c r="AW148" s="7" t="inlineStr">
        <is>
          <t>S:3 L:0 N:6 P:1 A:2</t>
        </is>
      </c>
    </row>
    <row r="149">
      <c r="A149" s="10" t="inlineStr">
        <is>
          <t>Expoprotection 2026</t>
        </is>
      </c>
      <c r="B149" s="10" t="inlineStr">
        <is>
          <t>RX France (Reed Exhibitions)</t>
        </is>
      </c>
      <c r="C149" s="10" t="inlineStr">
        <is>
          <t>2026-11-03</t>
        </is>
      </c>
      <c r="D149" s="10" t="inlineStr">
        <is>
          <t>2026-11-05</t>
        </is>
      </c>
      <c r="E149" s="10" t="inlineStr"/>
      <c r="F149" s="10" t="inlineStr">
        <is>
          <t>biennal (annees paires)</t>
        </is>
      </c>
      <c r="G149" s="10" t="inlineStr">
        <is>
          <t>Paris Expo Porte de Versailles</t>
        </is>
      </c>
      <c r="H149" s="10" t="inlineStr">
        <is>
          <t>Paris 15e</t>
        </is>
      </c>
      <c r="I149" s="10" t="inlineStr">
        <is>
          <t>75</t>
        </is>
      </c>
      <c r="J149" s="10" t="inlineStr">
        <is>
          <t>présentiel</t>
        </is>
      </c>
      <c r="K149" s="11" t="inlineStr">
        <is>
          <t>La gestion du risque 360° dans un environnement instable</t>
        </is>
      </c>
      <c r="L149" s="11" t="inlineStr">
        <is>
          <t>Visitorat : réservé aux professionnels (fiche CCI Paris Ile-de-France)</t>
        </is>
      </c>
      <c r="M149" s="10" t="inlineStr">
        <is>
          <t>Défense, sécurité civile et militaire</t>
        </is>
      </c>
      <c r="N149" s="10" t="inlineStr">
        <is>
          <t>non identifié publiquement</t>
        </is>
      </c>
      <c r="O149" s="10" t="inlineStr">
        <is>
          <t>non identifié publiquement</t>
        </is>
      </c>
      <c r="P149" s="10" t="inlineStr">
        <is>
          <t>CONFIRME</t>
        </is>
      </c>
      <c r="Q149" s="11" t="inlineStr">
        <is>
          <t>Chiffres annonces pour l'edition 2026 par l'organisateur et repris par TradeFairDates et BlueprintExhibits</t>
        </is>
      </c>
      <c r="R149" s="10" t="inlineStr">
        <is>
          <t>inscription libre</t>
        </is>
      </c>
      <c r="S149" s="10" t="inlineStr">
        <is>
          <t>oui</t>
        </is>
      </c>
      <c r="T149" s="11" t="inlineStr">
        <is>
          <t>Salon reserve aux professionnels de la prevention et de la gestion des risques</t>
        </is>
      </c>
      <c r="U149" s="10" t="inlineStr">
        <is>
          <t>non identifié publiquement</t>
        </is>
      </c>
      <c r="V149" s="10" t="inlineStr">
        <is>
          <t>https://www.cci-paris-idf.fr/fr/evenements-salons/salons-foires-paris-ile-de-france/expoprotection</t>
        </is>
      </c>
      <c r="W149" s="10" t="inlineStr">
        <is>
          <t>2026-09-15</t>
        </is>
      </c>
      <c r="X149" s="11" t="inlineStr"/>
      <c r="Y149" s="7" t="inlineStr">
        <is>
          <t>3</t>
        </is>
      </c>
      <c r="Z149" s="7" t="inlineStr">
        <is>
          <t>Industrie / Manufacturing / Automobile / Aéronautique</t>
        </is>
      </c>
      <c r="AA149" s="7" t="inlineStr"/>
      <c r="AB149" s="7" t="inlineStr"/>
      <c r="AC149" s="7" t="inlineStr"/>
      <c r="AD149" s="7" t="inlineStr">
        <is>
          <t>2</t>
        </is>
      </c>
      <c r="AE149" s="7" t="inlineStr">
        <is>
          <t>0</t>
        </is>
      </c>
      <c r="AF149" s="7" t="inlineStr">
        <is>
          <t>Générique / Multi-éditeurs / Sans dominante</t>
        </is>
      </c>
      <c r="AG149" s="8" t="inlineStr">
        <is>
          <t>estimé</t>
        </is>
      </c>
      <c r="AH149" s="12" t="inlineStr">
        <is>
          <t>Aucune dimension logicielle dans le positionnement de l'organisateur : rattache au 0 (sans dominante) plutot que laisse vide, conformement a la demande de non-vide</t>
        </is>
      </c>
      <c r="AI149" s="7" t="inlineStr">
        <is>
          <t>6</t>
        </is>
      </c>
      <c r="AJ149" s="7" t="inlineStr">
        <is>
          <t>&gt;2000</t>
        </is>
      </c>
      <c r="AK149" s="7" t="inlineStr">
        <is>
          <t>constaté</t>
        </is>
      </c>
      <c r="AL149" s="7" t="inlineStr">
        <is>
          <t>plus de 20 373 visiteurs professionnels et plus de 1 000 exposants, 110 pays representes</t>
        </is>
      </c>
      <c r="AM149" s="11" t="inlineStr">
        <is>
          <t>Chiffres annonces pour l'edition 2026 par l'organisateur et repris par TradeFairDates et BlueprintExhibits</t>
        </is>
      </c>
      <c r="AN149" s="7" t="inlineStr">
        <is>
          <t>haute</t>
        </is>
      </c>
      <c r="AO149" s="7" t="inlineStr">
        <is>
          <t>3|4</t>
        </is>
      </c>
      <c r="AP149" s="7" t="inlineStr">
        <is>
          <t>Opérationnels / Utilisateurs métier + Partenaires / Prescripteurs / Consultants / Intégrateurs</t>
        </is>
      </c>
      <c r="AQ149" s="8" t="inlineStr">
        <is>
          <t>estimé</t>
        </is>
      </c>
      <c r="AR149" s="12" t="inlineStr">
        <is>
          <t>Salon professionnel sectoriel : operationnels du secteur et prescripteurs</t>
        </is>
      </c>
      <c r="AS149" s="7" t="inlineStr">
        <is>
          <t>2</t>
        </is>
      </c>
      <c r="AT149" s="7" t="inlineStr">
        <is>
          <t>Moyen</t>
        </is>
      </c>
      <c r="AU149" s="7" t="inlineStr">
        <is>
          <t>constaté</t>
        </is>
      </c>
      <c r="AV149" s="12" t="inlineStr"/>
      <c r="AW149" s="7" t="inlineStr">
        <is>
          <t>S:3 L:0 N:6 P:3|4 A:2</t>
        </is>
      </c>
    </row>
    <row r="150">
      <c r="A150" s="10" t="inlineStr">
        <is>
          <t>Future of Finance 2026</t>
        </is>
      </c>
      <c r="B150" s="10" t="inlineStr">
        <is>
          <t>Future of Finance</t>
        </is>
      </c>
      <c r="C150" s="10" t="inlineStr">
        <is>
          <t>2026-11-03</t>
        </is>
      </c>
      <c r="D150" s="10" t="inlineStr">
        <is>
          <t>2026-11-04</t>
        </is>
      </c>
      <c r="E150" s="10" t="inlineStr"/>
      <c r="F150" s="10" t="inlineStr">
        <is>
          <t>non identifié publiquement</t>
        </is>
      </c>
      <c r="G150" s="10" t="inlineStr">
        <is>
          <t>Carrousel du Louvre</t>
        </is>
      </c>
      <c r="H150" s="10" t="inlineStr">
        <is>
          <t>Paris (arrondissement selon le lieu)</t>
        </is>
      </c>
      <c r="I150" s="10" t="inlineStr">
        <is>
          <t>75</t>
        </is>
      </c>
      <c r="J150" s="10" t="inlineStr">
        <is>
          <t>présentiel</t>
        </is>
      </c>
      <c r="K150" s="11" t="inlineStr">
        <is>
          <t>Future of Finance 2026 : rendez-vous annuel des directions financières à Paris. 11ème édition au Carrousel du Louvre.</t>
        </is>
      </c>
      <c r="L150" s="11" t="inlineStr">
        <is>
          <t>non identifié publiquement</t>
        </is>
      </c>
      <c r="M150" s="10" t="inlineStr">
        <is>
          <t>Numerique, informatique, technologies</t>
        </is>
      </c>
      <c r="N150" s="10" t="inlineStr">
        <is>
          <t>non identifié publiquement</t>
        </is>
      </c>
      <c r="O150" s="10" t="inlineStr">
        <is>
          <t>non identifié publiquement</t>
        </is>
      </c>
      <c r="P150" s="10" t="inlineStr"/>
      <c r="Q150" s="11" t="inlineStr"/>
      <c r="R150" s="10" t="inlineStr">
        <is>
          <t>non identifié publiquement</t>
        </is>
      </c>
      <c r="S150" s="10" t="inlineStr">
        <is>
          <t>non</t>
        </is>
      </c>
      <c r="T150" s="11" t="inlineStr"/>
      <c r="U150" s="10" t="inlineStr">
        <is>
          <t>non identifié publiquement</t>
        </is>
      </c>
      <c r="V150" s="10" t="inlineStr">
        <is>
          <t>https://www.agenda-tech.com/events/future-of-finance-paris-2026</t>
        </is>
      </c>
      <c r="W150" s="10" t="inlineStr">
        <is>
          <t>2026-09-15</t>
        </is>
      </c>
      <c r="X150" s="11" t="inlineStr">
        <is>
          <t>Identifie via l'agregateur specialise Agenda Tech (donnees structurees schema.org publiees par l'organisateur).</t>
        </is>
      </c>
      <c r="Y150" s="7" t="inlineStr">
        <is>
          <t>8|4</t>
        </is>
      </c>
      <c r="Z150" s="7" t="inlineStr">
        <is>
          <t>Finance / Banque / Assurance + Tech / IT / Logiciels / Télécom</t>
        </is>
      </c>
      <c r="AA150" s="7" t="inlineStr">
        <is>
          <t>0</t>
        </is>
      </c>
      <c r="AB150" s="7" t="inlineStr"/>
      <c r="AC150" s="7" t="inlineStr"/>
      <c r="AD150" s="7" t="inlineStr"/>
      <c r="AE150" s="7" t="inlineStr">
        <is>
          <t>0</t>
        </is>
      </c>
      <c r="AF150" s="7" t="inlineStr">
        <is>
          <t>Générique / Multi-éditeurs / Sans dominante</t>
        </is>
      </c>
      <c r="AG150" s="7" t="inlineStr">
        <is>
          <t>déduit</t>
        </is>
      </c>
      <c r="AH150" s="12" t="inlineStr">
        <is>
          <t>Deduit du secteur (axe 1)</t>
        </is>
      </c>
      <c r="AI150" s="7" t="inlineStr">
        <is>
          <t>4</t>
        </is>
      </c>
      <c r="AJ150" s="7" t="inlineStr">
        <is>
          <t>121-400</t>
        </is>
      </c>
      <c r="AK150" s="8" t="inlineStr">
        <is>
          <t>estimé</t>
        </is>
      </c>
      <c r="AL150" s="7" t="inlineStr">
        <is>
          <t>estimation : 100 a 500 participants</t>
        </is>
      </c>
      <c r="AM150" s="11" t="inlineStr">
        <is>
          <t>Modele de format (format non caracterise), fourchette 100-500, plafonnee par la capacite du lieu (Carrousel du Louvre ~ 5000)</t>
        </is>
      </c>
      <c r="AN150" s="7" t="inlineStr">
        <is>
          <t>faible</t>
        </is>
      </c>
      <c r="AO150" s="7" t="inlineStr">
        <is>
          <t>1</t>
        </is>
      </c>
      <c r="AP150" s="7" t="inlineStr">
        <is>
          <t>Décideurs PME/ETI</t>
        </is>
      </c>
      <c r="AQ150" s="8" t="inlineStr">
        <is>
          <t>estimé</t>
        </is>
      </c>
      <c r="AR150" s="12" t="inlineStr">
        <is>
          <t>Par defaut, evenement B2B francilien : decideurs PME/ETI</t>
        </is>
      </c>
      <c r="AS150" s="7" t="inlineStr">
        <is>
          <t>2</t>
        </is>
      </c>
      <c r="AT150" s="7" t="inlineStr">
        <is>
          <t>Moyen</t>
        </is>
      </c>
      <c r="AU150" s="8" t="inlineStr">
        <is>
          <t>estimé</t>
        </is>
      </c>
      <c r="AV150" s="12" t="inlineStr">
        <is>
          <t>Billetterie en vente libre (mention 'Voir tarifs sur le site' chez Agenda Tech), sans gratuite confirmee</t>
        </is>
      </c>
      <c r="AW150" s="7" t="inlineStr">
        <is>
          <t>S:8|4 L:0 N:4 P:1 A:2</t>
        </is>
      </c>
    </row>
    <row r="151">
      <c r="A151" s="10" t="inlineStr">
        <is>
          <t>IAMPHENOM Europe 2026</t>
        </is>
      </c>
      <c r="B151" s="10" t="inlineStr">
        <is>
          <t>Phenom</t>
        </is>
      </c>
      <c r="C151" s="10" t="inlineStr">
        <is>
          <t>2026-11-03</t>
        </is>
      </c>
      <c r="D151" s="10" t="inlineStr">
        <is>
          <t>2026-11-04</t>
        </is>
      </c>
      <c r="E151" s="10" t="inlineStr"/>
      <c r="F151" s="10" t="inlineStr">
        <is>
          <t>non identifié publiquement</t>
        </is>
      </c>
      <c r="G151" s="10" t="inlineStr">
        <is>
          <t>non identifié publiquement</t>
        </is>
      </c>
      <c r="H151" s="10" t="inlineStr">
        <is>
          <t>Paris (arrondissement non communique)</t>
        </is>
      </c>
      <c r="I151" s="10" t="inlineStr">
        <is>
          <t>75</t>
        </is>
      </c>
      <c r="J151" s="10" t="inlineStr">
        <is>
          <t>présentiel</t>
        </is>
      </c>
      <c r="K151" s="11" t="inlineStr">
        <is>
          <t>Conférence HR dédiée à l'IA appliquée et l'automation. 1,5 jour, 30+ speakers, 25+ sessions. Redesigner les opérations RH avec l'IA et les agents.</t>
        </is>
      </c>
      <c r="L151" s="11" t="inlineStr">
        <is>
          <t>non identifié publiquement</t>
        </is>
      </c>
      <c r="M151" s="10" t="inlineStr">
        <is>
          <t>Numerique, informatique, technologies</t>
        </is>
      </c>
      <c r="N151" s="10" t="inlineStr">
        <is>
          <t>IAMPHENOM Europe 2026 - Conférence HR dédiée à l'IA appliquée et l'automation. 1,5 jour, 30+ speakers, 25+ sessions. Redesigner les op</t>
        </is>
      </c>
      <c r="O151" s="10" t="inlineStr">
        <is>
          <t>non identifié publiquement</t>
        </is>
      </c>
      <c r="P151" s="10" t="inlineStr">
        <is>
          <t>ESTIME</t>
        </is>
      </c>
      <c r="Q151" s="11" t="inlineStr">
        <is>
          <t>Effectif attendu publie par l'agregateur specialise Agenda Tech pour cette edition</t>
        </is>
      </c>
      <c r="R151" s="10" t="inlineStr">
        <is>
          <t>non identifié publiquement</t>
        </is>
      </c>
      <c r="S151" s="10" t="inlineStr">
        <is>
          <t>non</t>
        </is>
      </c>
      <c r="T151" s="11" t="inlineStr"/>
      <c r="U151" s="10" t="inlineStr">
        <is>
          <t>non identifié publiquement</t>
        </is>
      </c>
      <c r="V151" s="10" t="inlineStr">
        <is>
          <t>https://www.agenda-tech.com/events/iamphenom-europe-2026</t>
        </is>
      </c>
      <c r="W151" s="10" t="inlineStr">
        <is>
          <t>2026-09-15</t>
        </is>
      </c>
      <c r="X151" s="11" t="inlineStr">
        <is>
          <t>Identifie via l'agregateur specialise Agenda Tech (donnees structurees schema.org publiees par l'organisateur).</t>
        </is>
      </c>
      <c r="Y151" s="7" t="inlineStr">
        <is>
          <t>16|4</t>
        </is>
      </c>
      <c r="Z151" s="7" t="inlineStr">
        <is>
          <t>IA / Intelligence artificielle + Tech / IT / Logiciels / Télécom</t>
        </is>
      </c>
      <c r="AA151" s="7" t="inlineStr">
        <is>
          <t>11</t>
        </is>
      </c>
      <c r="AB151" s="7" t="inlineStr"/>
      <c r="AC151" s="7" t="inlineStr"/>
      <c r="AD151" s="7" t="inlineStr"/>
      <c r="AE151" s="7" t="inlineStr">
        <is>
          <t>11</t>
        </is>
      </c>
      <c r="AF151" s="7" t="inlineStr">
        <is>
          <t>IA / Automatisation / No-code / Low-code</t>
        </is>
      </c>
      <c r="AG151" s="7" t="inlineStr">
        <is>
          <t>constaté</t>
        </is>
      </c>
      <c r="AH151" s="12" t="inlineStr"/>
      <c r="AI151" s="7" t="inlineStr">
        <is>
          <t>5</t>
        </is>
      </c>
      <c r="AJ151" s="7" t="inlineStr">
        <is>
          <t>401-2000</t>
        </is>
      </c>
      <c r="AK151" s="8" t="inlineStr">
        <is>
          <t>estimé</t>
        </is>
      </c>
      <c r="AL151" s="7" t="inlineStr">
        <is>
          <t>environ 500 participants</t>
        </is>
      </c>
      <c r="AM151" s="11" t="inlineStr">
        <is>
          <t>Effectif attendu publie par Agenda Tech (agregateur specialise, chiffre de l'organisateur ou de l'agregateur)</t>
        </is>
      </c>
      <c r="AN151" s="7" t="inlineStr">
        <is>
          <t>moyenne</t>
        </is>
      </c>
      <c r="AO151" s="7" t="inlineStr">
        <is>
          <t>3</t>
        </is>
      </c>
      <c r="AP151" s="7" t="inlineStr">
        <is>
          <t>Opérationnels / Utilisateurs métier</t>
        </is>
      </c>
      <c r="AQ151" s="8" t="inlineStr">
        <is>
          <t>estimé</t>
        </is>
      </c>
      <c r="AR151" s="12" t="inlineStr">
        <is>
          <t>Conference technique IA : profils operationnels et utilisateurs metier</t>
        </is>
      </c>
      <c r="AS151" s="7" t="inlineStr">
        <is>
          <t>2</t>
        </is>
      </c>
      <c r="AT151" s="7" t="inlineStr">
        <is>
          <t>Moyen</t>
        </is>
      </c>
      <c r="AU151" s="8" t="inlineStr">
        <is>
          <t>estimé</t>
        </is>
      </c>
      <c r="AV151" s="12" t="inlineStr">
        <is>
          <t>Tarif payant publie par Agenda Tech</t>
        </is>
      </c>
      <c r="AW151" s="7" t="inlineStr">
        <is>
          <t>S:16|4 L:11 N:5 P:3 A:2</t>
        </is>
      </c>
    </row>
    <row r="152">
      <c r="A152" s="10" t="inlineStr">
        <is>
          <t>Objectif Scale-up Deep Tech - Atelier 2</t>
        </is>
      </c>
      <c r="B152" s="10" t="inlineStr">
        <is>
          <t>Pole Systematic Paris-Region</t>
        </is>
      </c>
      <c r="C152" s="10" t="inlineStr">
        <is>
          <t>2026-11-03</t>
        </is>
      </c>
      <c r="D152" s="10" t="inlineStr"/>
      <c r="E152" s="10" t="inlineStr"/>
      <c r="F152" s="10" t="inlineStr">
        <is>
          <t>non identifié publiquement</t>
        </is>
      </c>
      <c r="G152" s="10" t="inlineStr">
        <is>
          <t>Adresse communiquee au moment de l'inscription</t>
        </is>
      </c>
      <c r="H152" s="10" t="inlineStr">
        <is>
          <t>Paris (arrondissement non communique)</t>
        </is>
      </c>
      <c r="I152" s="10" t="inlineStr">
        <is>
          <t>75</t>
        </is>
      </c>
      <c r="J152" s="10" t="inlineStr">
        <is>
          <t>présentiel</t>
        </is>
      </c>
      <c r="K152" s="11" t="inlineStr">
        <is>
          <t>Deuxieme atelier du programme d'accompagnement a la mise a l'echelle des entreprises deep tech.</t>
        </is>
      </c>
      <c r="L152" s="11" t="inlineStr">
        <is>
          <t>non identifié publiquement</t>
        </is>
      </c>
      <c r="M152" s="10" t="inlineStr">
        <is>
          <t>Deep tech, industrie, numerique</t>
        </is>
      </c>
      <c r="N152" s="10" t="inlineStr">
        <is>
          <t>Tags organisateur : Advanced Engineering &amp; Computing, Cyber &amp; Security, Data Science &amp; Artificial Intelligence, Digital Infrastructure, Open Source</t>
        </is>
      </c>
      <c r="O152" s="10" t="inlineStr">
        <is>
          <t>non identifié publiquement</t>
        </is>
      </c>
      <c r="P152" s="10" t="inlineStr"/>
      <c r="Q152" s="11" t="inlineStr"/>
      <c r="R152" s="10" t="inlineStr">
        <is>
          <t>inscription libre</t>
        </is>
      </c>
      <c r="S152" s="10" t="inlineStr">
        <is>
          <t>oui</t>
        </is>
      </c>
      <c r="T152" s="11" t="inlineStr">
        <is>
          <t>Atelier d'un programme d'accompagnement, adresse communiquee uniquement aux inscrits</t>
        </is>
      </c>
      <c r="U152" s="10" t="inlineStr">
        <is>
          <t>non identifié publiquement</t>
        </is>
      </c>
      <c r="V152" s="10" t="inlineStr">
        <is>
          <t>https://systematic-paris-region.org/evenement/objectif-scale-up-deep-tech-atelier-2/</t>
        </is>
      </c>
      <c r="W152" s="10" t="inlineStr">
        <is>
          <t>2026-09-15</t>
        </is>
      </c>
      <c r="X152" s="11" t="inlineStr">
        <is>
          <t>Cycle de trois ateliers ; les ateliers 2 et 3 tombent dans la fenetre. Public de scale-up deep tech : ICP plausible.</t>
        </is>
      </c>
      <c r="Y152" s="7" t="inlineStr">
        <is>
          <t>4|3</t>
        </is>
      </c>
      <c r="Z152" s="7" t="inlineStr">
        <is>
          <t>Tech / IT / Logiciels / Télécom + Industrie / Manufacturing / Automobile / Aéronautique</t>
        </is>
      </c>
      <c r="AA152" s="7" t="inlineStr">
        <is>
          <t>10</t>
        </is>
      </c>
      <c r="AB152" s="7" t="inlineStr"/>
      <c r="AC152" s="7" t="inlineStr">
        <is>
          <t>5</t>
        </is>
      </c>
      <c r="AD152" s="7" t="inlineStr">
        <is>
          <t>2</t>
        </is>
      </c>
      <c r="AE152" s="7" t="inlineStr">
        <is>
          <t>10</t>
        </is>
      </c>
      <c r="AF152" s="7" t="inlineStr">
        <is>
          <t>Cybersécurité</t>
        </is>
      </c>
      <c r="AG152" s="7" t="inlineStr">
        <is>
          <t>constaté</t>
        </is>
      </c>
      <c r="AH152" s="12" t="inlineStr"/>
      <c r="AI152" s="7" t="inlineStr">
        <is>
          <t>3</t>
        </is>
      </c>
      <c r="AJ152" s="7" t="inlineStr">
        <is>
          <t>41-120</t>
        </is>
      </c>
      <c r="AK152" s="8" t="inlineStr">
        <is>
          <t>estimé</t>
        </is>
      </c>
      <c r="AL152" s="7" t="inlineStr">
        <is>
          <t>estimation : 50 a 250 participants</t>
        </is>
      </c>
      <c r="AM152" s="11" t="inlineStr">
        <is>
          <t>Modele de format (rendez-vous de pole de competitivite ou de cluster), fourchette 50-250</t>
        </is>
      </c>
      <c r="AN152" s="7" t="inlineStr">
        <is>
          <t>moyenne</t>
        </is>
      </c>
      <c r="AO152" s="7" t="inlineStr">
        <is>
          <t>5</t>
        </is>
      </c>
      <c r="AP152" s="7" t="inlineStr">
        <is>
          <t>Pairs / Concurrents / Acteurs de l'offre</t>
        </is>
      </c>
      <c r="AQ152" s="7" t="inlineStr">
        <is>
          <t>constaté</t>
        </is>
      </c>
      <c r="AR152" s="12" t="inlineStr"/>
      <c r="AS152" s="7" t="inlineStr">
        <is>
          <t>2</t>
        </is>
      </c>
      <c r="AT152" s="7" t="inlineStr">
        <is>
          <t>Moyen</t>
        </is>
      </c>
      <c r="AU152" s="7" t="inlineStr">
        <is>
          <t>constaté</t>
        </is>
      </c>
      <c r="AV152" s="12" t="inlineStr"/>
      <c r="AW152" s="7" t="inlineStr">
        <is>
          <t>S:4|3 L:10 N:3 P:5 A:2</t>
        </is>
      </c>
    </row>
    <row r="153">
      <c r="A153" s="10" t="inlineStr">
        <is>
          <t>Salon Effervescence 94 - edition 2026</t>
        </is>
      </c>
      <c r="B153" s="10" t="inlineStr">
        <is>
          <t>CCI Paris Ile-de-France</t>
        </is>
      </c>
      <c r="C153" s="10" t="inlineStr">
        <is>
          <t>2026-11-03</t>
        </is>
      </c>
      <c r="D153" s="10" t="inlineStr"/>
      <c r="E153" s="10" t="inlineStr"/>
      <c r="F153" s="10" t="inlineStr">
        <is>
          <t>non identifié publiquement</t>
        </is>
      </c>
      <c r="G153" s="10" t="inlineStr">
        <is>
          <t>Palais des sports Robert Oubron, 5 rue Pasteur Vallery Radot</t>
        </is>
      </c>
      <c r="H153" s="10" t="inlineStr">
        <is>
          <t>Creteil</t>
        </is>
      </c>
      <c r="I153" s="10" t="inlineStr">
        <is>
          <t>94</t>
        </is>
      </c>
      <c r="J153" s="10" t="inlineStr">
        <is>
          <t>présentiel</t>
        </is>
      </c>
      <c r="K153" s="11" t="inlineStr">
        <is>
          <t>Salon economique territorial du Val-de-Marne reunissant entreprises et partenaires du developpement economique.</t>
        </is>
      </c>
      <c r="L153" s="11" t="inlineStr">
        <is>
          <t>non identifié publiquement</t>
        </is>
      </c>
      <c r="M153" s="10" t="inlineStr">
        <is>
          <t>Tous secteurs</t>
        </is>
      </c>
      <c r="N153" s="10" t="inlineStr">
        <is>
          <t>non identifié publiquement</t>
        </is>
      </c>
      <c r="O153" s="10" t="inlineStr">
        <is>
          <t>non identifié publiquement</t>
        </is>
      </c>
      <c r="P153" s="10" t="inlineStr"/>
      <c r="Q153" s="11" t="inlineStr"/>
      <c r="R153" s="10" t="inlineStr">
        <is>
          <t>inscription libre</t>
        </is>
      </c>
      <c r="S153" s="10" t="inlineStr">
        <is>
          <t>non</t>
        </is>
      </c>
      <c r="T153" s="11" t="inlineStr"/>
      <c r="U153" s="10" t="inlineStr">
        <is>
          <t>non identifié publiquement</t>
        </is>
      </c>
      <c r="V153" s="10" t="inlineStr">
        <is>
          <t>https://www.entreprises.cci-paris-idf.fr/evenements/salon-effervescence-94</t>
        </is>
      </c>
      <c r="W153" s="10" t="inlineStr">
        <is>
          <t>2026-09-15</t>
        </is>
      </c>
      <c r="X153" s="11" t="inlineStr">
        <is>
          <t>Seul evenement identifie dans le Val-de-Marne (94) sur la periode a ce stade de la collecte.</t>
        </is>
      </c>
      <c r="Y153" s="7" t="inlineStr">
        <is>
          <t>0</t>
        </is>
      </c>
      <c r="Z153" s="7" t="inlineStr">
        <is>
          <t>Générique / Transversal</t>
        </is>
      </c>
      <c r="AA153" s="7" t="inlineStr"/>
      <c r="AB153" s="7" t="inlineStr"/>
      <c r="AC153" s="7" t="inlineStr">
        <is>
          <t>9|4</t>
        </is>
      </c>
      <c r="AD153" s="7" t="inlineStr">
        <is>
          <t>2</t>
        </is>
      </c>
      <c r="AE153" s="7" t="inlineStr">
        <is>
          <t>0</t>
        </is>
      </c>
      <c r="AF153" s="7" t="inlineStr">
        <is>
          <t>Générique / Multi-éditeurs / Sans dominante</t>
        </is>
      </c>
      <c r="AG153" s="8" t="inlineStr">
        <is>
          <t>estimé</t>
        </is>
      </c>
      <c r="AH153" s="12" t="inlineStr">
        <is>
          <t>Aucune dimension logicielle dans le positionnement de l'organisateur : rattache au 0 (sans dominante) plutot que laisse vide, conformement a la demande de non-vide</t>
        </is>
      </c>
      <c r="AI153" s="7" t="inlineStr">
        <is>
          <t>5</t>
        </is>
      </c>
      <c r="AJ153" s="7" t="inlineStr">
        <is>
          <t>401-2000</t>
        </is>
      </c>
      <c r="AK153" s="8" t="inlineStr">
        <is>
          <t>estimé</t>
        </is>
      </c>
      <c r="AL153" s="7" t="inlineStr">
        <is>
          <t>estimation : 300 a 1500 participants</t>
        </is>
      </c>
      <c r="AM153" s="11" t="inlineStr">
        <is>
          <t>Modele de format (salon economique territorial), fourchette 300-1500, plafonnee par la capacite du lieu (Palais des sports Robert Oubron, 5 rue P ~ 2000)</t>
        </is>
      </c>
      <c r="AN153" s="7" t="inlineStr">
        <is>
          <t>moyenne</t>
        </is>
      </c>
      <c r="AO153" s="7" t="inlineStr">
        <is>
          <t>9|4</t>
        </is>
      </c>
      <c r="AP153" s="7" t="inlineStr">
        <is>
          <t>Institutionnels / Secteur public + Partenaires / Prescripteurs / Consultants / Intégrateurs</t>
        </is>
      </c>
      <c r="AQ153" s="7" t="inlineStr">
        <is>
          <t>constaté</t>
        </is>
      </c>
      <c r="AR153" s="12" t="inlineStr"/>
      <c r="AS153" s="7" t="inlineStr">
        <is>
          <t>2</t>
        </is>
      </c>
      <c r="AT153" s="7" t="inlineStr">
        <is>
          <t>Moyen</t>
        </is>
      </c>
      <c r="AU153" s="7" t="inlineStr">
        <is>
          <t>constaté</t>
        </is>
      </c>
      <c r="AV153" s="12" t="inlineStr"/>
      <c r="AW153" s="7" t="inlineStr">
        <is>
          <t>S:0 L:0 N:5 P:9|4 A:2</t>
        </is>
      </c>
    </row>
    <row r="154">
      <c r="A154" s="10" t="inlineStr">
        <is>
          <t>Agentforce World Tour Paris 2026 (édition novembre)</t>
        </is>
      </c>
      <c r="B154" s="10" t="inlineStr">
        <is>
          <t>Salesforce</t>
        </is>
      </c>
      <c r="C154" s="10" t="inlineStr">
        <is>
          <t>2026-11-04</t>
        </is>
      </c>
      <c r="D154" s="10" t="inlineStr"/>
      <c r="E154" s="10" t="inlineStr"/>
      <c r="F154" s="10" t="inlineStr">
        <is>
          <t>non identifié publiquement</t>
        </is>
      </c>
      <c r="G154" s="10" t="inlineStr">
        <is>
          <t>non identifié publiquement</t>
        </is>
      </c>
      <c r="H154" s="10" t="inlineStr">
        <is>
          <t>Paris (arrondissement non communique)</t>
        </is>
      </c>
      <c r="I154" s="10" t="inlineStr">
        <is>
          <t>75</t>
        </is>
      </c>
      <c r="J154" s="10" t="inlineStr">
        <is>
          <t>présentiel</t>
        </is>
      </c>
      <c r="K154" s="11" t="inlineStr">
        <is>
          <t>Agentforce World Tour Paris le 5 novembre 2026 : la keynote Salesforce dédiée à l'IA agentique, Data Cloud et CRM. Gratuit, pour décideurs IT et métiers.</t>
        </is>
      </c>
      <c r="L154" s="11" t="inlineStr">
        <is>
          <t>non identifié publiquement</t>
        </is>
      </c>
      <c r="M154" s="10" t="inlineStr">
        <is>
          <t>Numerique, informatique, technologies</t>
        </is>
      </c>
      <c r="N154" s="10" t="inlineStr">
        <is>
          <t xml:space="preserve">Agentforce World Tour Paris 2026 (édition novembre) - Agentforce World Tour Paris le 5 novembre 2026 : la keynote Salesforce dédiée à l'IA agentique, Data Cloud et </t>
        </is>
      </c>
      <c r="O154" s="10" t="inlineStr">
        <is>
          <t>non identifié publiquement</t>
        </is>
      </c>
      <c r="P154" s="10" t="inlineStr"/>
      <c r="Q154" s="11" t="inlineStr"/>
      <c r="R154" s="10" t="inlineStr">
        <is>
          <t>non identifié publiquement</t>
        </is>
      </c>
      <c r="S154" s="10" t="inlineStr">
        <is>
          <t>non</t>
        </is>
      </c>
      <c r="T154" s="11" t="inlineStr"/>
      <c r="U154" s="10" t="inlineStr">
        <is>
          <t>non identifié publiquement</t>
        </is>
      </c>
      <c r="V154" s="10" t="inlineStr">
        <is>
          <t>https://www.agenda-tech.com/events/agentforce-world-tour-paris-2026-edition-novembre-2026</t>
        </is>
      </c>
      <c r="W154" s="10" t="inlineStr">
        <is>
          <t>2026-09-15</t>
        </is>
      </c>
      <c r="X154" s="11" t="inlineStr">
        <is>
          <t>Identifie via l'agregateur specialise Agenda Tech (donnees structurees schema.org publiees par l'organisateur).</t>
        </is>
      </c>
      <c r="Y154" s="7" t="inlineStr">
        <is>
          <t>4</t>
        </is>
      </c>
      <c r="Z154" s="7" t="inlineStr">
        <is>
          <t>Tech / IT / Logiciels / Télécom</t>
        </is>
      </c>
      <c r="AA154" s="7" t="inlineStr">
        <is>
          <t>9</t>
        </is>
      </c>
      <c r="AB154" s="7" t="inlineStr"/>
      <c r="AC154" s="7" t="inlineStr">
        <is>
          <t>1</t>
        </is>
      </c>
      <c r="AD154" s="7" t="inlineStr"/>
      <c r="AE154" s="7" t="inlineStr">
        <is>
          <t>9</t>
        </is>
      </c>
      <c r="AF154" s="7" t="inlineStr">
        <is>
          <t>Data / BI / Analytics</t>
        </is>
      </c>
      <c r="AG154" s="7" t="inlineStr">
        <is>
          <t>constaté</t>
        </is>
      </c>
      <c r="AH154" s="12" t="inlineStr"/>
      <c r="AI154" s="7" t="inlineStr">
        <is>
          <t>5</t>
        </is>
      </c>
      <c r="AJ154" s="7" t="inlineStr">
        <is>
          <t>401-2000</t>
        </is>
      </c>
      <c r="AK154" s="8" t="inlineStr">
        <is>
          <t>estimé</t>
        </is>
      </c>
      <c r="AL154" s="7" t="inlineStr">
        <is>
          <t>estimation : 300 a 1500 participants</t>
        </is>
      </c>
      <c r="AM154" s="11" t="inlineStr">
        <is>
          <t>Modele de format (convention client d'editeur ou d'integrateur), fourchette 300-1500</t>
        </is>
      </c>
      <c r="AN154" s="7" t="inlineStr">
        <is>
          <t>moyenne</t>
        </is>
      </c>
      <c r="AO154" s="7" t="inlineStr">
        <is>
          <t>1</t>
        </is>
      </c>
      <c r="AP154" s="7" t="inlineStr">
        <is>
          <t>Décideurs PME/ETI</t>
        </is>
      </c>
      <c r="AQ154" s="7" t="inlineStr">
        <is>
          <t>constaté</t>
        </is>
      </c>
      <c r="AR154" s="12" t="inlineStr"/>
      <c r="AS154" s="7" t="inlineStr">
        <is>
          <t>1</t>
        </is>
      </c>
      <c r="AT154" s="7" t="inlineStr">
        <is>
          <t>Facile</t>
        </is>
      </c>
      <c r="AU154" s="8" t="inlineStr">
        <is>
          <t>estimé</t>
        </is>
      </c>
      <c r="AV154" s="12" t="inlineStr">
        <is>
          <t>Tarif 'Gratuit' publie par Agenda Tech</t>
        </is>
      </c>
      <c r="AW154" s="7" t="inlineStr">
        <is>
          <t>S:4 L:9 N:5 P:1 A:1</t>
        </is>
      </c>
    </row>
    <row r="155">
      <c r="A155" s="10" t="inlineStr">
        <is>
          <t>Colloque Chimie et Cerveau 2026</t>
        </is>
      </c>
      <c r="B155" s="10" t="inlineStr">
        <is>
          <t>Fondation de la Maison de la Chimie</t>
        </is>
      </c>
      <c r="C155" s="10" t="inlineStr">
        <is>
          <t>2026-11-04</t>
        </is>
      </c>
      <c r="D155" s="10" t="inlineStr"/>
      <c r="E155" s="10" t="inlineStr"/>
      <c r="F155" s="10" t="inlineStr">
        <is>
          <t>ponctuel</t>
        </is>
      </c>
      <c r="G155" s="10" t="inlineStr">
        <is>
          <t>Maison de la Chimie - Amphitheatre Lavoisier, 28 bis rue Saint-Dominique</t>
        </is>
      </c>
      <c r="H155" s="10" t="inlineStr">
        <is>
          <t>Paris 7e</t>
        </is>
      </c>
      <c r="I155" s="10" t="inlineStr">
        <is>
          <t>75</t>
        </is>
      </c>
      <c r="J155" s="10" t="inlineStr">
        <is>
          <t>hybride</t>
        </is>
      </c>
      <c r="K155" s="11" t="inlineStr">
        <is>
          <t>Colloque scientifique sur le role de la chimie dans la recherche et les developpements lies au cerveau et a ses pathologies.</t>
        </is>
      </c>
      <c r="L155" s="11" t="inlineStr">
        <is>
          <t>non identifié publiquement (colloque scientifique ouvert sur inscription)</t>
        </is>
      </c>
      <c r="M155" s="10" t="inlineStr">
        <is>
          <t>Chimie, sante, recherche</t>
        </is>
      </c>
      <c r="N155" s="10" t="inlineStr">
        <is>
          <t>non identifié publiquement</t>
        </is>
      </c>
      <c r="O155" s="10" t="inlineStr">
        <is>
          <t>non identifié publiquement</t>
        </is>
      </c>
      <c r="P155" s="10" t="inlineStr"/>
      <c r="Q155" s="11" t="inlineStr"/>
      <c r="R155" s="10" t="inlineStr">
        <is>
          <t>inscription libre</t>
        </is>
      </c>
      <c r="S155" s="10" t="inlineStr">
        <is>
          <t>non</t>
        </is>
      </c>
      <c r="T155" s="11" t="inlineStr"/>
      <c r="U155" s="10" t="inlineStr">
        <is>
          <t>non identifié publiquement</t>
        </is>
      </c>
      <c r="V155" s="10" t="inlineStr">
        <is>
          <t>https://fondation.maisondelachimie.com/colloque/chimieetcerveau/</t>
        </is>
      </c>
      <c r="W155" s="10" t="inlineStr">
        <is>
          <t>2026-09-15</t>
        </is>
      </c>
      <c r="X155" s="11" t="inlineStr">
        <is>
          <t>Horaires 9h-17h, cloture des inscriptions le 25 octobre 2026. Retransmission en direct sur la chaine YouTube mediachimie.org, d'ou le format hybride. Pertinence ICP faible (colloque academique), conserve par exhaustivite.</t>
        </is>
      </c>
      <c r="Y155" s="7" t="inlineStr">
        <is>
          <t>7</t>
        </is>
      </c>
      <c r="Z155" s="7" t="inlineStr">
        <is>
          <t>Santé / Pharma / Biotech / Medtech</t>
        </is>
      </c>
      <c r="AA155" s="7" t="inlineStr"/>
      <c r="AB155" s="7" t="inlineStr"/>
      <c r="AC155" s="7" t="inlineStr">
        <is>
          <t>7</t>
        </is>
      </c>
      <c r="AD155" s="7" t="inlineStr">
        <is>
          <t>2</t>
        </is>
      </c>
      <c r="AE155" s="7" t="inlineStr">
        <is>
          <t>0</t>
        </is>
      </c>
      <c r="AF155" s="7" t="inlineStr">
        <is>
          <t>Générique / Multi-éditeurs / Sans dominante</t>
        </is>
      </c>
      <c r="AG155" s="8" t="inlineStr">
        <is>
          <t>estimé</t>
        </is>
      </c>
      <c r="AH155" s="12" t="inlineStr">
        <is>
          <t>Aucune dimension logicielle dans le positionnement de l'organisateur : rattache au 0 (sans dominante) plutot que laisse vide, conformement a la demande de non-vide</t>
        </is>
      </c>
      <c r="AI155" s="7" t="inlineStr">
        <is>
          <t>4</t>
        </is>
      </c>
      <c r="AJ155" s="7" t="inlineStr">
        <is>
          <t>121-400</t>
        </is>
      </c>
      <c r="AK155" s="8" t="inlineStr">
        <is>
          <t>estimé</t>
        </is>
      </c>
      <c r="AL155" s="7" t="inlineStr">
        <is>
          <t>estimation : 150 a 600 participants</t>
        </is>
      </c>
      <c r="AM155" s="11" t="inlineStr">
        <is>
          <t>Modele de format (colloque ou journee thematique), fourchette 150-600, plafonnee par la capacite du lieu (Maison de la Chimie - Amphitheatre Lavoi ~ 1200)</t>
        </is>
      </c>
      <c r="AN155" s="7" t="inlineStr">
        <is>
          <t>moyenne</t>
        </is>
      </c>
      <c r="AO155" s="7" t="inlineStr">
        <is>
          <t>7</t>
        </is>
      </c>
      <c r="AP155" s="7" t="inlineStr">
        <is>
          <t>Experts / Advisors / Associations professionnelles</t>
        </is>
      </c>
      <c r="AQ155" s="7" t="inlineStr">
        <is>
          <t>constaté</t>
        </is>
      </c>
      <c r="AR155" s="12" t="inlineStr"/>
      <c r="AS155" s="7" t="inlineStr">
        <is>
          <t>2</t>
        </is>
      </c>
      <c r="AT155" s="7" t="inlineStr">
        <is>
          <t>Moyen</t>
        </is>
      </c>
      <c r="AU155" s="7" t="inlineStr">
        <is>
          <t>constaté</t>
        </is>
      </c>
      <c r="AV155" s="12" t="inlineStr"/>
      <c r="AW155" s="7" t="inlineStr">
        <is>
          <t>S:7 L:0 N:4 P:7 A:2</t>
        </is>
      </c>
    </row>
    <row r="156">
      <c r="A156" s="10" t="inlineStr">
        <is>
          <t>RENT - Real Estate &amp; New Technologies 2026</t>
        </is>
      </c>
      <c r="B156" s="10" t="inlineStr">
        <is>
          <t>non identifié publiquement</t>
        </is>
      </c>
      <c r="C156" s="10" t="inlineStr">
        <is>
          <t>2026-11-04</t>
        </is>
      </c>
      <c r="D156" s="10" t="inlineStr">
        <is>
          <t>2026-11-05</t>
        </is>
      </c>
      <c r="E156" s="10" t="inlineStr"/>
      <c r="F156" s="10" t="inlineStr">
        <is>
          <t>annuel</t>
        </is>
      </c>
      <c r="G156" s="10" t="inlineStr">
        <is>
          <t>Paris Expo Porte de Versailles</t>
        </is>
      </c>
      <c r="H156" s="10" t="inlineStr">
        <is>
          <t>Paris 15e</t>
        </is>
      </c>
      <c r="I156" s="10" t="inlineStr">
        <is>
          <t>75</t>
        </is>
      </c>
      <c r="J156" s="10" t="inlineStr">
        <is>
          <t>présentiel</t>
        </is>
      </c>
      <c r="K156" s="11" t="inlineStr">
        <is>
          <t>Rendez-vous de la proptech : technologies et innovations pour l'immobilier.</t>
        </is>
      </c>
      <c r="L156" s="11" t="inlineStr">
        <is>
          <t>Visitorat : réservé aux professionnels (fiche CCI Paris Ile-de-France)</t>
        </is>
      </c>
      <c r="M156" s="10" t="inlineStr">
        <is>
          <t>Immobilier</t>
        </is>
      </c>
      <c r="N156" s="10" t="inlineStr">
        <is>
          <t>Proptech, logiciels de transaction et de gestion immobiliere, IA appliquee a l'immobilier</t>
        </is>
      </c>
      <c r="O156" s="10" t="inlineStr">
        <is>
          <t>non identifié publiquement</t>
        </is>
      </c>
      <c r="P156" s="10" t="inlineStr"/>
      <c r="Q156" s="11" t="inlineStr"/>
      <c r="R156" s="10" t="inlineStr">
        <is>
          <t>billet payant</t>
        </is>
      </c>
      <c r="S156" s="10" t="inlineStr">
        <is>
          <t>oui</t>
        </is>
      </c>
      <c r="T156" s="11" t="inlineStr">
        <is>
          <t>Salon reserve aux professionnels de l'immobilier</t>
        </is>
      </c>
      <c r="U156" s="10" t="inlineStr">
        <is>
          <t>non identifié publiquement</t>
        </is>
      </c>
      <c r="V156" s="10" t="inlineStr">
        <is>
          <t>https://www.cci-paris-idf.fr/fr/evenements-salons/salons-foires-paris-ile-de-france/rent-real-estate-new-techn</t>
        </is>
      </c>
      <c r="W156" s="10" t="inlineStr">
        <is>
          <t>2026-09-15</t>
        </is>
      </c>
      <c r="X156" s="11" t="inlineStr">
        <is>
          <t>FORT ALIGNEMENT : salon de la transformation numerique d'une filiere PME/ETI (agences, administrateurs de biens, promoteurs).</t>
        </is>
      </c>
      <c r="Y156" s="7" t="inlineStr">
        <is>
          <t>2</t>
        </is>
      </c>
      <c r="Z156" s="7" t="inlineStr">
        <is>
          <t>Immobilier / Construction / BTP</t>
        </is>
      </c>
      <c r="AA156" s="7" t="inlineStr">
        <is>
          <t>11</t>
        </is>
      </c>
      <c r="AB156" s="7" t="inlineStr"/>
      <c r="AC156" s="7" t="inlineStr"/>
      <c r="AD156" s="7" t="inlineStr">
        <is>
          <t>2</t>
        </is>
      </c>
      <c r="AE156" s="7" t="inlineStr">
        <is>
          <t>11</t>
        </is>
      </c>
      <c r="AF156" s="7" t="inlineStr">
        <is>
          <t>IA / Automatisation / No-code / Low-code</t>
        </is>
      </c>
      <c r="AG156" s="7" t="inlineStr">
        <is>
          <t>constaté</t>
        </is>
      </c>
      <c r="AH156" s="12" t="inlineStr"/>
      <c r="AI156" s="7" t="inlineStr">
        <is>
          <t>4</t>
        </is>
      </c>
      <c r="AJ156" s="7" t="inlineStr">
        <is>
          <t>121-400</t>
        </is>
      </c>
      <c r="AK156" s="8" t="inlineStr">
        <is>
          <t>estimé</t>
        </is>
      </c>
      <c r="AL156" s="7" t="inlineStr">
        <is>
          <t>estimation : 100 a 500 participants</t>
        </is>
      </c>
      <c r="AM156" s="11" t="inlineStr">
        <is>
          <t>Modele de format (format non caracterise), fourchette 100-500, plafonnee par la capacite du lieu (Paris Expo Porte de Versailles ~ 200000)</t>
        </is>
      </c>
      <c r="AN156" s="7" t="inlineStr">
        <is>
          <t>faible</t>
        </is>
      </c>
      <c r="AO156" s="7" t="inlineStr">
        <is>
          <t>1</t>
        </is>
      </c>
      <c r="AP156" s="7" t="inlineStr">
        <is>
          <t>Décideurs PME/ETI</t>
        </is>
      </c>
      <c r="AQ156" s="8" t="inlineStr">
        <is>
          <t>estimé</t>
        </is>
      </c>
      <c r="AR156" s="12" t="inlineStr">
        <is>
          <t>Par defaut, evenement B2B francilien : decideurs PME/ETI</t>
        </is>
      </c>
      <c r="AS156" s="7" t="inlineStr">
        <is>
          <t>2</t>
        </is>
      </c>
      <c r="AT156" s="7" t="inlineStr">
        <is>
          <t>Moyen</t>
        </is>
      </c>
      <c r="AU156" s="7" t="inlineStr">
        <is>
          <t>constaté</t>
        </is>
      </c>
      <c r="AV156" s="12" t="inlineStr"/>
      <c r="AW156" s="7" t="inlineStr">
        <is>
          <t>S:2 L:11 N:4 P:1 A:2</t>
        </is>
      </c>
    </row>
    <row r="157">
      <c r="A157" s="10" t="inlineStr">
        <is>
          <t>SATIS 2026</t>
        </is>
      </c>
      <c r="B157" s="10" t="inlineStr">
        <is>
          <t>non identifié publiquement</t>
        </is>
      </c>
      <c r="C157" s="10" t="inlineStr">
        <is>
          <t>2026-11-04</t>
        </is>
      </c>
      <c r="D157" s="10" t="inlineStr">
        <is>
          <t>2026-11-05</t>
        </is>
      </c>
      <c r="E157" s="10" t="inlineStr"/>
      <c r="F157" s="10" t="inlineStr">
        <is>
          <t>annuel</t>
        </is>
      </c>
      <c r="G157" s="10" t="inlineStr">
        <is>
          <t>Les Docks de Paris</t>
        </is>
      </c>
      <c r="H157" s="10" t="inlineStr">
        <is>
          <t>Aubervilliers</t>
        </is>
      </c>
      <c r="I157" s="10" t="inlineStr">
        <is>
          <t>93</t>
        </is>
      </c>
      <c r="J157" s="10" t="inlineStr">
        <is>
          <t>présentiel</t>
        </is>
      </c>
      <c r="K157" s="11" t="inlineStr">
        <is>
          <t>Salon  dédié à la création et aux innovations technologiques au service des marchés médias, du divertissement et de la communication audiovisuelle.</t>
        </is>
      </c>
      <c r="L157" s="11" t="inlineStr">
        <is>
          <t>Visitorat : réservé aux professionnels (fiche CCI Paris Ile-de-France)</t>
        </is>
      </c>
      <c r="M157" s="10" t="inlineStr">
        <is>
          <t>Art, culture, musique, spectacles</t>
        </is>
      </c>
      <c r="N157" s="10" t="inlineStr">
        <is>
          <t>non identifié publiquement</t>
        </is>
      </c>
      <c r="O157" s="10" t="inlineStr">
        <is>
          <t>non identifié publiquement</t>
        </is>
      </c>
      <c r="P157" s="10" t="inlineStr">
        <is>
          <t>CONFIRME</t>
        </is>
      </c>
      <c r="Q157" s="11" t="inlineStr">
        <is>
          <t>Bilan de l'edition 2025 publie par l'organisateur et relaye par Mediakwest et Sonovision</t>
        </is>
      </c>
      <c r="R157" s="10" t="inlineStr">
        <is>
          <t>inscription libre</t>
        </is>
      </c>
      <c r="S157" s="10" t="inlineStr">
        <is>
          <t>oui</t>
        </is>
      </c>
      <c r="T157" s="11" t="inlineStr">
        <is>
          <t>Salon reserve aux professionnels de l'audiovisuel, du broadcast et de la creation</t>
        </is>
      </c>
      <c r="U157" s="10" t="inlineStr">
        <is>
          <t>non identifié publiquement</t>
        </is>
      </c>
      <c r="V157" s="10" t="inlineStr">
        <is>
          <t>https://www.cci-paris-idf.fr/fr/evenements-salons/salons-foires-paris-ile-de-france/satis</t>
        </is>
      </c>
      <c r="W157" s="10" t="inlineStr">
        <is>
          <t>2026-09-15</t>
        </is>
      </c>
      <c r="X157" s="11" t="inlineStr">
        <is>
          <t>CONFLIT DE LIEU SIGNALE : le repertoire CCI Paris IDF situe le salon aux Docks de Paris (Aubervilliers, 93) ; l'agregateur Agenda Tech indique 'Plaine Royale' pour les memes dates. Donnees CCI retenues, ecart a verifier.</t>
        </is>
      </c>
      <c r="Y157" s="7" t="inlineStr">
        <is>
          <t>15</t>
        </is>
      </c>
      <c r="Z157" s="7" t="inlineStr">
        <is>
          <t>Médias / Communication / Culture / Divertissement</t>
        </is>
      </c>
      <c r="AA157" s="7" t="inlineStr"/>
      <c r="AB157" s="7" t="inlineStr"/>
      <c r="AC157" s="7" t="inlineStr">
        <is>
          <t>8</t>
        </is>
      </c>
      <c r="AD157" s="7" t="inlineStr">
        <is>
          <t>2</t>
        </is>
      </c>
      <c r="AE157" s="7" t="inlineStr">
        <is>
          <t>0</t>
        </is>
      </c>
      <c r="AF157" s="7" t="inlineStr">
        <is>
          <t>Générique / Multi-éditeurs / Sans dominante</t>
        </is>
      </c>
      <c r="AG157" s="8" t="inlineStr">
        <is>
          <t>estimé</t>
        </is>
      </c>
      <c r="AH157" s="12" t="inlineStr">
        <is>
          <t>Aucune dimension logicielle dans le positionnement de l'organisateur : rattache au 0 (sans dominante) plutot que laisse vide, conformement a la demande de non-vide</t>
        </is>
      </c>
      <c r="AI157" s="7" t="inlineStr">
        <is>
          <t>6</t>
        </is>
      </c>
      <c r="AJ157" s="7" t="inlineStr">
        <is>
          <t>&gt;2000</t>
        </is>
      </c>
      <c r="AK157" s="7" t="inlineStr">
        <is>
          <t>constaté</t>
        </is>
      </c>
      <c r="AL157" s="7" t="inlineStr">
        <is>
          <t>9 318 visiteurs et 206 exposants a l'edition 2025 (44e edition en 2026)</t>
        </is>
      </c>
      <c r="AM157" s="11" t="inlineStr">
        <is>
          <t>Bilan de l'edition 2025 publie par l'organisateur et relaye par Mediakwest et Sonovision</t>
        </is>
      </c>
      <c r="AN157" s="7" t="inlineStr">
        <is>
          <t>haute</t>
        </is>
      </c>
      <c r="AO157" s="7" t="inlineStr">
        <is>
          <t>8</t>
        </is>
      </c>
      <c r="AP157" s="7" t="inlineStr">
        <is>
          <t>Journalistes / Médias</t>
        </is>
      </c>
      <c r="AQ157" s="7" t="inlineStr">
        <is>
          <t>constaté</t>
        </is>
      </c>
      <c r="AR157" s="12" t="inlineStr"/>
      <c r="AS157" s="7" t="inlineStr">
        <is>
          <t>2</t>
        </is>
      </c>
      <c r="AT157" s="7" t="inlineStr">
        <is>
          <t>Moyen</t>
        </is>
      </c>
      <c r="AU157" s="7" t="inlineStr">
        <is>
          <t>constaté</t>
        </is>
      </c>
      <c r="AV157" s="12" t="inlineStr"/>
      <c r="AW157" s="7" t="inlineStr">
        <is>
          <t>S:15 L:0 N:6 P:8 A:2</t>
        </is>
      </c>
    </row>
    <row r="158">
      <c r="A158" s="10" t="inlineStr">
        <is>
          <t>Salon de la Copropriete et de l'Habitat 2026</t>
        </is>
      </c>
      <c r="B158" s="10" t="inlineStr">
        <is>
          <t>Beyond Event</t>
        </is>
      </c>
      <c r="C158" s="10" t="inlineStr">
        <is>
          <t>2026-11-04</t>
        </is>
      </c>
      <c r="D158" s="10" t="inlineStr">
        <is>
          <t>2026-11-05</t>
        </is>
      </c>
      <c r="E158" s="10" t="inlineStr"/>
      <c r="F158" s="10" t="inlineStr">
        <is>
          <t>annuel</t>
        </is>
      </c>
      <c r="G158" s="10" t="inlineStr">
        <is>
          <t>Paris Expo Porte de Versailles</t>
        </is>
      </c>
      <c r="H158" s="10" t="inlineStr">
        <is>
          <t>Paris 15e</t>
        </is>
      </c>
      <c r="I158" s="10" t="inlineStr">
        <is>
          <t>75</t>
        </is>
      </c>
      <c r="J158" s="10" t="inlineStr">
        <is>
          <t>présentiel</t>
        </is>
      </c>
      <c r="K158" s="11" t="inlineStr">
        <is>
          <t>Le rendez-vous des professionnels et usagers des copropriétés, pour le bien vivre ensemble dans un habitat durable et connecté</t>
        </is>
      </c>
      <c r="L158" s="11" t="inlineStr">
        <is>
          <t>Visitorat : réservé aux professionnels (fiche CCI Paris Ile-de-France)</t>
        </is>
      </c>
      <c r="M158" s="10" t="inlineStr">
        <is>
          <t>Immobilier</t>
        </is>
      </c>
      <c r="N158" s="10" t="inlineStr">
        <is>
          <t>non identifié publiquement</t>
        </is>
      </c>
      <c r="O158" s="10" t="inlineStr">
        <is>
          <t>non identifié publiquement</t>
        </is>
      </c>
      <c r="P158" s="10" t="inlineStr"/>
      <c r="Q158" s="11" t="inlineStr"/>
      <c r="R158" s="10" t="inlineStr">
        <is>
          <t>inscription libre</t>
        </is>
      </c>
      <c r="S158" s="10" t="inlineStr">
        <is>
          <t>non</t>
        </is>
      </c>
      <c r="T158" s="11" t="inlineStr"/>
      <c r="U158" s="10" t="inlineStr">
        <is>
          <t>non identifié publiquement</t>
        </is>
      </c>
      <c r="V158" s="10" t="inlineStr">
        <is>
          <t>https://www.cci-paris-idf.fr/fr/evenements-salons/salons-foires-paris-ile-de-france/salon-de-la-copropriete-et-de-lhabitat</t>
        </is>
      </c>
      <c r="W158" s="10" t="inlineStr">
        <is>
          <t>2026-09-15</t>
        </is>
      </c>
      <c r="X158" s="11" t="inlineStr">
        <is>
          <t>Public mixte : syndics, gestionnaires et prestataires professionnels d'un cote, conseils syndicaux et coproprietaires de l'autre. La fiche CCI le classe reserve aux professionnels.</t>
        </is>
      </c>
      <c r="Y158" s="7" t="inlineStr">
        <is>
          <t>2</t>
        </is>
      </c>
      <c r="Z158" s="7" t="inlineStr">
        <is>
          <t>Immobilier / Construction / BTP</t>
        </is>
      </c>
      <c r="AA158" s="7" t="inlineStr"/>
      <c r="AB158" s="7" t="inlineStr"/>
      <c r="AC158" s="7" t="inlineStr"/>
      <c r="AD158" s="7" t="inlineStr">
        <is>
          <t>2</t>
        </is>
      </c>
      <c r="AE158" s="7" t="inlineStr">
        <is>
          <t>0</t>
        </is>
      </c>
      <c r="AF158" s="7" t="inlineStr">
        <is>
          <t>Générique / Multi-éditeurs / Sans dominante</t>
        </is>
      </c>
      <c r="AG158" s="8" t="inlineStr">
        <is>
          <t>estimé</t>
        </is>
      </c>
      <c r="AH158" s="12" t="inlineStr">
        <is>
          <t>Aucune dimension logicielle dans le positionnement de l'organisateur : rattache au 0 (sans dominante) plutot que laisse vide, conformement a la demande de non-vide</t>
        </is>
      </c>
      <c r="AI158" s="7" t="inlineStr">
        <is>
          <t>6</t>
        </is>
      </c>
      <c r="AJ158" s="7" t="inlineStr">
        <is>
          <t>&gt;2000</t>
        </is>
      </c>
      <c r="AK158" s="8" t="inlineStr">
        <is>
          <t>estimé</t>
        </is>
      </c>
      <c r="AL158" s="7" t="inlineStr">
        <is>
          <t>estimation : 3000 a 30000 participants</t>
        </is>
      </c>
      <c r="AM158" s="11" t="inlineStr">
        <is>
          <t>Modele de format (salon professionnel en parc d'exposition), fourchette 3000-30000, plafonnee par la capacite du lieu (Paris Expo Porte de Versailles ~ 200000)</t>
        </is>
      </c>
      <c r="AN158" s="7" t="inlineStr">
        <is>
          <t>moyenne</t>
        </is>
      </c>
      <c r="AO158" s="7" t="inlineStr">
        <is>
          <t>3|4</t>
        </is>
      </c>
      <c r="AP158" s="7" t="inlineStr">
        <is>
          <t>Opérationnels / Utilisateurs métier + Partenaires / Prescripteurs / Consultants / Intégrateurs</t>
        </is>
      </c>
      <c r="AQ158" s="8" t="inlineStr">
        <is>
          <t>estimé</t>
        </is>
      </c>
      <c r="AR158" s="12" t="inlineStr">
        <is>
          <t>Salon professionnel sectoriel : operationnels du secteur et prescripteurs</t>
        </is>
      </c>
      <c r="AS158" s="7" t="inlineStr">
        <is>
          <t>2</t>
        </is>
      </c>
      <c r="AT158" s="7" t="inlineStr">
        <is>
          <t>Moyen</t>
        </is>
      </c>
      <c r="AU158" s="7" t="inlineStr">
        <is>
          <t>constaté</t>
        </is>
      </c>
      <c r="AV158" s="12" t="inlineStr"/>
      <c r="AW158" s="7" t="inlineStr">
        <is>
          <t>S:2 L:0 N:6 P:3|4 A:2</t>
        </is>
      </c>
    </row>
    <row r="159">
      <c r="A159" s="10" t="inlineStr">
        <is>
          <t>BOOST Event 2026</t>
        </is>
      </c>
      <c r="B159" s="10" t="inlineStr">
        <is>
          <t>CCI Paris Ile-de-France</t>
        </is>
      </c>
      <c r="C159" s="10" t="inlineStr">
        <is>
          <t>2026-11-05</t>
        </is>
      </c>
      <c r="D159" s="10" t="inlineStr"/>
      <c r="E159" s="10" t="inlineStr"/>
      <c r="F159" s="10" t="inlineStr">
        <is>
          <t>non identifié publiquement</t>
        </is>
      </c>
      <c r="G159" s="10" t="inlineStr">
        <is>
          <t>Musee des Arts Forains - Les Pavillons de Bercy, 53 avenue des Terroirs de France</t>
        </is>
      </c>
      <c r="H159" s="10" t="inlineStr">
        <is>
          <t>Paris 12e</t>
        </is>
      </c>
      <c r="I159" s="10" t="inlineStr">
        <is>
          <t>75</t>
        </is>
      </c>
      <c r="J159" s="10" t="inlineStr">
        <is>
          <t>présentiel</t>
        </is>
      </c>
      <c r="K159" s="11" t="inlineStr">
        <is>
          <t>Evenement de networking du reseau BOOST de la CCI.</t>
        </is>
      </c>
      <c r="L159" s="11" t="inlineStr">
        <is>
          <t>non identifié publiquement</t>
        </is>
      </c>
      <c r="M159" s="10" t="inlineStr">
        <is>
          <t>Networking, developpement d'entreprise</t>
        </is>
      </c>
      <c r="N159" s="10" t="inlineStr">
        <is>
          <t>non identifié publiquement</t>
        </is>
      </c>
      <c r="O159" s="10" t="inlineStr">
        <is>
          <t>non identifié publiquement</t>
        </is>
      </c>
      <c r="P159" s="10" t="inlineStr"/>
      <c r="Q159" s="11" t="inlineStr"/>
      <c r="R159" s="10" t="inlineStr">
        <is>
          <t>inscription libre</t>
        </is>
      </c>
      <c r="S159" s="10" t="inlineStr">
        <is>
          <t>non</t>
        </is>
      </c>
      <c r="T159" s="11" t="inlineStr"/>
      <c r="U159" s="10" t="inlineStr">
        <is>
          <t>109 EUR HT</t>
        </is>
      </c>
      <c r="V159" s="10" t="inlineStr">
        <is>
          <t>https://www.entreprises.cci-paris-idf.fr/evenements/boost-event-2026</t>
        </is>
      </c>
      <c r="W159" s="10" t="inlineStr">
        <is>
          <t>2026-09-15</t>
        </is>
      </c>
      <c r="X159" s="11" t="inlineStr"/>
      <c r="Y159" s="7" t="inlineStr">
        <is>
          <t>0</t>
        </is>
      </c>
      <c r="Z159" s="7" t="inlineStr">
        <is>
          <t>Générique / Transversal</t>
        </is>
      </c>
      <c r="AA159" s="7" t="inlineStr"/>
      <c r="AB159" s="7" t="inlineStr"/>
      <c r="AC159" s="7" t="inlineStr"/>
      <c r="AD159" s="7" t="inlineStr">
        <is>
          <t>2</t>
        </is>
      </c>
      <c r="AE159" s="7" t="inlineStr">
        <is>
          <t>0</t>
        </is>
      </c>
      <c r="AF159" s="7" t="inlineStr">
        <is>
          <t>Générique / Multi-éditeurs / Sans dominante</t>
        </is>
      </c>
      <c r="AG159" s="8" t="inlineStr">
        <is>
          <t>estimé</t>
        </is>
      </c>
      <c r="AH159" s="12" t="inlineStr">
        <is>
          <t>Aucune dimension logicielle dans le positionnement de l'organisateur : rattache au 0 (sans dominante) plutot que laisse vide, conformement a la demande de non-vide</t>
        </is>
      </c>
      <c r="AI159" s="7" t="inlineStr">
        <is>
          <t>2</t>
        </is>
      </c>
      <c r="AJ159" s="7" t="inlineStr">
        <is>
          <t>16-40</t>
        </is>
      </c>
      <c r="AK159" s="8" t="inlineStr">
        <is>
          <t>estimé</t>
        </is>
      </c>
      <c r="AL159" s="7" t="inlineStr">
        <is>
          <t>estimation : 15 a 60 participants</t>
        </is>
      </c>
      <c r="AM159" s="11" t="inlineStr">
        <is>
          <t>Modele de format (rendez-vous de chambre de commerce (atelier ou conference)), fourchette 15-60, plafonnee par la capacite du lieu (Musee des Arts Forains - Les Pavillons d ~ 1500)</t>
        </is>
      </c>
      <c r="AN159" s="7" t="inlineStr">
        <is>
          <t>moyenne</t>
        </is>
      </c>
      <c r="AO159" s="7" t="inlineStr">
        <is>
          <t>1</t>
        </is>
      </c>
      <c r="AP159" s="7" t="inlineStr">
        <is>
          <t>Décideurs PME/ETI</t>
        </is>
      </c>
      <c r="AQ159" s="8" t="inlineStr">
        <is>
          <t>estimé</t>
        </is>
      </c>
      <c r="AR159" s="12" t="inlineStr">
        <is>
          <t>Organisateur CCI : public cible structurel de dirigeants et collaborateurs de TPE-PME</t>
        </is>
      </c>
      <c r="AS159" s="7" t="inlineStr">
        <is>
          <t>2</t>
        </is>
      </c>
      <c r="AT159" s="7" t="inlineStr">
        <is>
          <t>Moyen</t>
        </is>
      </c>
      <c r="AU159" s="7" t="inlineStr">
        <is>
          <t>constaté</t>
        </is>
      </c>
      <c r="AV159" s="12" t="inlineStr"/>
      <c r="AW159" s="7" t="inlineStr">
        <is>
          <t>S:0 L:0 N:2 P:1 A:2</t>
        </is>
      </c>
    </row>
    <row r="160">
      <c r="A160" s="10" t="inlineStr">
        <is>
          <t>Convention annuelle CPME 2026</t>
        </is>
      </c>
      <c r="B160" s="10" t="inlineStr">
        <is>
          <t>CPME (Confederation des Petites et Moyennes Entreprises)</t>
        </is>
      </c>
      <c r="C160" s="10" t="inlineStr">
        <is>
          <t>2026-11-05</t>
        </is>
      </c>
      <c r="D160" s="10" t="inlineStr">
        <is>
          <t>2026-11-06</t>
        </is>
      </c>
      <c r="E160" s="10" t="inlineStr"/>
      <c r="F160" s="10" t="inlineStr">
        <is>
          <t>annuel</t>
        </is>
      </c>
      <c r="G160" s="10" t="inlineStr">
        <is>
          <t>non identifié publiquement</t>
        </is>
      </c>
      <c r="H160" s="10" t="inlineStr">
        <is>
          <t>non identifié publiquement</t>
        </is>
      </c>
      <c r="I160" s="10" t="inlineStr">
        <is>
          <t>non identifié publiquement</t>
        </is>
      </c>
      <c r="J160" s="10" t="inlineStr">
        <is>
          <t>présentiel</t>
        </is>
      </c>
      <c r="K160" s="11" t="inlineStr">
        <is>
          <t>Convention annuelle de la CPME : soiree d'ouverture le 5 novembre, journee de conferences le 6 novembre.</t>
        </is>
      </c>
      <c r="L160" s="11" t="inlineStr">
        <is>
          <t>non identifié publiquement</t>
        </is>
      </c>
      <c r="M160" s="10" t="inlineStr">
        <is>
          <t>Tous secteurs (organisation patronale interprofessionnelle)</t>
        </is>
      </c>
      <c r="N160" s="10" t="inlineStr">
        <is>
          <t>non identifié publiquement</t>
        </is>
      </c>
      <c r="O160" s="10" t="inlineStr">
        <is>
          <t>non identifié publiquement</t>
        </is>
      </c>
      <c r="P160" s="10" t="inlineStr"/>
      <c r="Q160" s="11" t="inlineStr"/>
      <c r="R160" s="10" t="inlineStr">
        <is>
          <t>réservé adhérents</t>
        </is>
      </c>
      <c r="S160" s="10" t="inlineStr">
        <is>
          <t>oui</t>
        </is>
      </c>
      <c r="T160" s="11" t="inlineStr">
        <is>
          <t>Convention d'organisation patronale, orientee adherents et mandataires CPME</t>
        </is>
      </c>
      <c r="U160" s="10" t="inlineStr">
        <is>
          <t>non identifié publiquement</t>
        </is>
      </c>
      <c r="V160" s="10" t="inlineStr">
        <is>
          <t>https://www.cpme.fr/evenements/convention-annuelle-cpme</t>
        </is>
      </c>
      <c r="W160" s="10" t="inlineStr">
        <is>
          <t>2026-09-15</t>
        </is>
      </c>
      <c r="X160" s="11" t="inlineStr">
        <is>
          <t>Le site cpme.fr renvoie un blocage automatise (HTTP 403) au scraping direct ; dates recueillies via la page evenements indexee. LIEU NON CONFIRME : la convention annuelle CPME se tient historiquement en region, le rattachement a l'Ile-de-France n'est donc PAS etabli. Ligne a verifier avant exploitation.</t>
        </is>
      </c>
      <c r="Y160" s="7" t="inlineStr">
        <is>
          <t>0</t>
        </is>
      </c>
      <c r="Z160" s="7" t="inlineStr">
        <is>
          <t>Générique / Transversal</t>
        </is>
      </c>
      <c r="AA160" s="7" t="inlineStr"/>
      <c r="AB160" s="7" t="inlineStr"/>
      <c r="AC160" s="7" t="inlineStr">
        <is>
          <t>1</t>
        </is>
      </c>
      <c r="AD160" s="7" t="inlineStr">
        <is>
          <t>2</t>
        </is>
      </c>
      <c r="AE160" s="7" t="inlineStr">
        <is>
          <t>0</t>
        </is>
      </c>
      <c r="AF160" s="7" t="inlineStr">
        <is>
          <t>Générique / Multi-éditeurs / Sans dominante</t>
        </is>
      </c>
      <c r="AG160" s="8" t="inlineStr">
        <is>
          <t>estimé</t>
        </is>
      </c>
      <c r="AH160" s="12" t="inlineStr">
        <is>
          <t>Aucune dimension logicielle dans le positionnement de l'organisateur : rattache au 0 (sans dominante) plutot que laisse vide, conformement a la demande de non-vide</t>
        </is>
      </c>
      <c r="AI160" s="7" t="inlineStr">
        <is>
          <t>4</t>
        </is>
      </c>
      <c r="AJ160" s="7" t="inlineStr">
        <is>
          <t>121-400</t>
        </is>
      </c>
      <c r="AK160" s="8" t="inlineStr">
        <is>
          <t>estimé</t>
        </is>
      </c>
      <c r="AL160" s="7" t="inlineStr">
        <is>
          <t>estimation : 150 a 600 participants</t>
        </is>
      </c>
      <c r="AM160" s="11" t="inlineStr">
        <is>
          <t>Modele de format (colloque ou journee thematique), fourchette 150-600</t>
        </is>
      </c>
      <c r="AN160" s="7" t="inlineStr">
        <is>
          <t>moyenne</t>
        </is>
      </c>
      <c r="AO160" s="7" t="inlineStr">
        <is>
          <t>1</t>
        </is>
      </c>
      <c r="AP160" s="7" t="inlineStr">
        <is>
          <t>Décideurs PME/ETI</t>
        </is>
      </c>
      <c r="AQ160" s="7" t="inlineStr">
        <is>
          <t>constaté</t>
        </is>
      </c>
      <c r="AR160" s="12" t="inlineStr"/>
      <c r="AS160" s="7" t="inlineStr">
        <is>
          <t>2</t>
        </is>
      </c>
      <c r="AT160" s="7" t="inlineStr">
        <is>
          <t>Moyen</t>
        </is>
      </c>
      <c r="AU160" s="7" t="inlineStr">
        <is>
          <t>constaté</t>
        </is>
      </c>
      <c r="AV160" s="12" t="inlineStr"/>
      <c r="AW160" s="7" t="inlineStr">
        <is>
          <t>S:0 L:0 N:4 P:1 A:2</t>
        </is>
      </c>
    </row>
    <row r="161">
      <c r="A161" s="10" t="inlineStr">
        <is>
          <t>Formation numerique : creez votre agent IA SEO &amp; GEO (session du 5 novembre)</t>
        </is>
      </c>
      <c r="B161" s="10" t="inlineStr">
        <is>
          <t>CCI Paris Ile-de-France</t>
        </is>
      </c>
      <c r="C161" s="10" t="inlineStr">
        <is>
          <t>2026-11-05</t>
        </is>
      </c>
      <c r="D161" s="10" t="inlineStr"/>
      <c r="E161" s="10" t="inlineStr"/>
      <c r="F161" s="10" t="inlineStr">
        <is>
          <t>non identifié publiquement</t>
        </is>
      </c>
      <c r="G161" s="10" t="inlineStr">
        <is>
          <t>CCI Hauts-de-Seine - Coeur Defense, Tour A, 2e etage</t>
        </is>
      </c>
      <c r="H161" s="10" t="inlineStr">
        <is>
          <t>Courbevoie (quartier Paris La Defense)</t>
        </is>
      </c>
      <c r="I161" s="10" t="inlineStr">
        <is>
          <t>92</t>
        </is>
      </c>
      <c r="J161" s="10" t="inlineStr">
        <is>
          <t>présentiel</t>
        </is>
      </c>
      <c r="K161" s="11" t="inlineStr">
        <is>
          <t>Formation a la creation d'un agent IA dedie au referencement naturel et generatif.</t>
        </is>
      </c>
      <c r="L161" s="11" t="inlineStr">
        <is>
          <t>non identifié publiquement</t>
        </is>
      </c>
      <c r="M161" s="10" t="inlineStr">
        <is>
          <t>Tous secteurs</t>
        </is>
      </c>
      <c r="N161" s="10" t="inlineStr">
        <is>
          <t>Intelligence artificielle generative, agents IA, automatisation, SEO, GEO (Generative Engine Optimization)</t>
        </is>
      </c>
      <c r="O161" s="10" t="inlineStr">
        <is>
          <t>non identifié publiquement</t>
        </is>
      </c>
      <c r="P161" s="10" t="inlineStr"/>
      <c r="Q161" s="11" t="inlineStr"/>
      <c r="R161" s="10" t="inlineStr">
        <is>
          <t>inscription libre</t>
        </is>
      </c>
      <c r="S161" s="10" t="inlineStr">
        <is>
          <t>non</t>
        </is>
      </c>
      <c r="T161" s="11" t="inlineStr"/>
      <c r="U161" s="10" t="inlineStr">
        <is>
          <t>495 EUR TTC</t>
        </is>
      </c>
      <c r="V161" s="10" t="inlineStr">
        <is>
          <t>https://www.entreprises.cci-paris-idf.fr/evenements/formation-numerique-creez-votre-agent-ia-seo-geo</t>
        </is>
      </c>
      <c r="W161" s="10" t="inlineStr">
        <is>
          <t>2026-09-15</t>
        </is>
      </c>
      <c r="X161" s="11" t="inlineStr">
        <is>
          <t>ATELIER IA : concurrence directe ou partenariat possible pour une offre de conseil IA aupres des PME. La CCI Paris IDF a industrialise une offre IA pour TPE-PME sur la periode. Deux sessions publiees sur la meme fiche (15 septembre et 5 novembre 2026) : une ligne par session.</t>
        </is>
      </c>
      <c r="Y161" s="7" t="inlineStr">
        <is>
          <t>16</t>
        </is>
      </c>
      <c r="Z161" s="7" t="inlineStr">
        <is>
          <t>IA / Intelligence artificielle</t>
        </is>
      </c>
      <c r="AA161" s="7" t="inlineStr">
        <is>
          <t>11</t>
        </is>
      </c>
      <c r="AB161" s="7" t="inlineStr"/>
      <c r="AC161" s="7" t="inlineStr"/>
      <c r="AD161" s="7" t="inlineStr">
        <is>
          <t>2</t>
        </is>
      </c>
      <c r="AE161" s="7" t="inlineStr">
        <is>
          <t>11</t>
        </is>
      </c>
      <c r="AF161" s="7" t="inlineStr">
        <is>
          <t>IA / Automatisation / No-code / Low-code</t>
        </is>
      </c>
      <c r="AG161" s="7" t="inlineStr">
        <is>
          <t>constaté</t>
        </is>
      </c>
      <c r="AH161" s="12" t="inlineStr"/>
      <c r="AI161" s="7" t="inlineStr">
        <is>
          <t>2</t>
        </is>
      </c>
      <c r="AJ161" s="7" t="inlineStr">
        <is>
          <t>16-40</t>
        </is>
      </c>
      <c r="AK161" s="8" t="inlineStr">
        <is>
          <t>estimé</t>
        </is>
      </c>
      <c r="AL161" s="7" t="inlineStr">
        <is>
          <t>estimation : 10 a 30 participants</t>
        </is>
      </c>
      <c r="AM161" s="11" t="inlineStr">
        <is>
          <t>Modele de format (atelier ou formation en chambre de commerce), fourchette 10-30, plafonnee par la capacite du lieu (CCI Hauts-de-Seine - Coeur Defense, Tour ~ 120)</t>
        </is>
      </c>
      <c r="AN161" s="7" t="inlineStr">
        <is>
          <t>moyenne</t>
        </is>
      </c>
      <c r="AO161" s="7" t="inlineStr">
        <is>
          <t>1</t>
        </is>
      </c>
      <c r="AP161" s="7" t="inlineStr">
        <is>
          <t>Décideurs PME/ETI</t>
        </is>
      </c>
      <c r="AQ161" s="8" t="inlineStr">
        <is>
          <t>estimé</t>
        </is>
      </c>
      <c r="AR161" s="12" t="inlineStr">
        <is>
          <t>Organisateur CCI : public cible structurel de dirigeants et collaborateurs de TPE-PME</t>
        </is>
      </c>
      <c r="AS161" s="7" t="inlineStr">
        <is>
          <t>2</t>
        </is>
      </c>
      <c r="AT161" s="7" t="inlineStr">
        <is>
          <t>Moyen</t>
        </is>
      </c>
      <c r="AU161" s="7" t="inlineStr">
        <is>
          <t>constaté</t>
        </is>
      </c>
      <c r="AV161" s="12" t="inlineStr"/>
      <c r="AW161" s="7" t="inlineStr">
        <is>
          <t>S:16 L:11 N:2 P:1 A:2</t>
        </is>
      </c>
    </row>
    <row r="162">
      <c r="A162" s="10" t="inlineStr">
        <is>
          <t>GreenTech Forum 2026</t>
        </is>
      </c>
      <c r="B162" s="10" t="inlineStr">
        <is>
          <t>non identifié publiquement</t>
        </is>
      </c>
      <c r="C162" s="10" t="inlineStr">
        <is>
          <t>2026-11-05</t>
        </is>
      </c>
      <c r="D162" s="10" t="inlineStr">
        <is>
          <t>2026-11-06</t>
        </is>
      </c>
      <c r="E162" s="10" t="inlineStr"/>
      <c r="F162" s="10" t="inlineStr">
        <is>
          <t>annuel</t>
        </is>
      </c>
      <c r="G162" s="10" t="inlineStr">
        <is>
          <t>Palais des Congres de Paris (Porte Maillot)</t>
        </is>
      </c>
      <c r="H162" s="10" t="inlineStr">
        <is>
          <t>Paris 17e</t>
        </is>
      </c>
      <c r="I162" s="10" t="inlineStr">
        <is>
          <t>75</t>
        </is>
      </c>
      <c r="J162" s="10" t="inlineStr">
        <is>
          <t>présentiel</t>
        </is>
      </c>
      <c r="K162" s="11" t="inlineStr">
        <is>
          <t>Rendez-vous professionnel Numerique et Environnement : reduction de l'empreinte environnementale du numerique.</t>
        </is>
      </c>
      <c r="L162" s="11" t="inlineStr">
        <is>
          <t>Visitorat : réservé aux professionnels (fiche CCI Paris Ile-de-France)</t>
        </is>
      </c>
      <c r="M162" s="10" t="inlineStr">
        <is>
          <t>Environnement et énergie</t>
        </is>
      </c>
      <c r="N162" s="10" t="inlineStr">
        <is>
          <t>Numerique responsable, green IT, mesure d'empreinte environnementale des SI</t>
        </is>
      </c>
      <c r="O162" s="10" t="inlineStr">
        <is>
          <t>non identifié publiquement</t>
        </is>
      </c>
      <c r="P162" s="10" t="inlineStr">
        <is>
          <t>CONFIRME</t>
        </is>
      </c>
      <c r="Q162" s="11" t="inlineStr">
        <is>
          <t>Chiffres annonces par l'organisateur (greentech-forum.com) pour la 6e edition</t>
        </is>
      </c>
      <c r="R162" s="10" t="inlineStr">
        <is>
          <t>billet payant</t>
        </is>
      </c>
      <c r="S162" s="10" t="inlineStr">
        <is>
          <t>oui</t>
        </is>
      </c>
      <c r="T162" s="11" t="inlineStr">
        <is>
          <t>Evenement reserve aux professionnels du numerique responsable</t>
        </is>
      </c>
      <c r="U162" s="10" t="inlineStr">
        <is>
          <t>non identifié publiquement</t>
        </is>
      </c>
      <c r="V162" s="10" t="inlineStr">
        <is>
          <t>https://www.cci-paris-idf.fr/fr/evenements-salons/salons-foires-paris-ile-de-france/greentech-forum</t>
        </is>
      </c>
      <c r="W162" s="10" t="inlineStr">
        <is>
          <t>2026-09-15</t>
        </is>
      </c>
      <c r="X162" s="11" t="inlineStr">
        <is>
          <t>CONFLIT SIGNALE : le repertoire CCI Paris IDF annonce les 5-6 novembre 2026 au Palais des Congres ; l'agregateur Agenda Tech annonce les 4-5 novembre 2026 a Station F. Donnees CCI retenues, ecart a verifier avant exploitation.</t>
        </is>
      </c>
      <c r="Y162" s="7" t="inlineStr">
        <is>
          <t>11</t>
        </is>
      </c>
      <c r="Z162" s="7" t="inlineStr">
        <is>
          <t>Énergie / Environnement / Utilities</t>
        </is>
      </c>
      <c r="AA162" s="7" t="inlineStr"/>
      <c r="AB162" s="7" t="inlineStr"/>
      <c r="AC162" s="7" t="inlineStr"/>
      <c r="AD162" s="7" t="inlineStr">
        <is>
          <t>2</t>
        </is>
      </c>
      <c r="AE162" s="7" t="inlineStr">
        <is>
          <t>0</t>
        </is>
      </c>
      <c r="AF162" s="7" t="inlineStr">
        <is>
          <t>Générique / Multi-éditeurs / Sans dominante</t>
        </is>
      </c>
      <c r="AG162" s="8" t="inlineStr">
        <is>
          <t>estimé</t>
        </is>
      </c>
      <c r="AH162" s="12" t="inlineStr">
        <is>
          <t>Dimension logicielle plausible mais non documentee : rattache au 0 (sans dominante)</t>
        </is>
      </c>
      <c r="AI162" s="7" t="inlineStr">
        <is>
          <t>6</t>
        </is>
      </c>
      <c r="AJ162" s="7" t="inlineStr">
        <is>
          <t>&gt;2000</t>
        </is>
      </c>
      <c r="AK162" s="7" t="inlineStr">
        <is>
          <t>constaté</t>
        </is>
      </c>
      <c r="AL162" s="7" t="inlineStr">
        <is>
          <t>environ 2 500 participants, 70 exposants, 50 conferences et ateliers sur 3 scenes</t>
        </is>
      </c>
      <c r="AM162" s="11" t="inlineStr">
        <is>
          <t>Chiffres annonces par l'organisateur (greentech-forum.com) pour la 6e edition</t>
        </is>
      </c>
      <c r="AN162" s="7" t="inlineStr">
        <is>
          <t>haute</t>
        </is>
      </c>
      <c r="AO162" s="7" t="inlineStr">
        <is>
          <t>1</t>
        </is>
      </c>
      <c r="AP162" s="7" t="inlineStr">
        <is>
          <t>Décideurs PME/ETI</t>
        </is>
      </c>
      <c r="AQ162" s="8" t="inlineStr">
        <is>
          <t>estimé</t>
        </is>
      </c>
      <c r="AR162" s="12" t="inlineStr">
        <is>
          <t>Par defaut, evenement B2B francilien : decideurs PME/ETI</t>
        </is>
      </c>
      <c r="AS162" s="7" t="inlineStr">
        <is>
          <t>2</t>
        </is>
      </c>
      <c r="AT162" s="7" t="inlineStr">
        <is>
          <t>Moyen</t>
        </is>
      </c>
      <c r="AU162" s="7" t="inlineStr">
        <is>
          <t>constaté</t>
        </is>
      </c>
      <c r="AV162" s="12" t="inlineStr"/>
      <c r="AW162" s="7" t="inlineStr">
        <is>
          <t>S:11 L:0 N:6 P:1 A:2</t>
        </is>
      </c>
    </row>
    <row r="163">
      <c r="A163" s="10" t="inlineStr">
        <is>
          <t>Red Hat Summit: Connect Paris 2026</t>
        </is>
      </c>
      <c r="B163" s="10" t="inlineStr">
        <is>
          <t>Red Hat</t>
        </is>
      </c>
      <c r="C163" s="10" t="inlineStr">
        <is>
          <t>2026-11-05</t>
        </is>
      </c>
      <c r="D163" s="10" t="inlineStr"/>
      <c r="E163" s="10" t="inlineStr"/>
      <c r="F163" s="10" t="inlineStr">
        <is>
          <t>non identifié publiquement</t>
        </is>
      </c>
      <c r="G163" s="10" t="inlineStr">
        <is>
          <t>La Maison de la Mutualite, 24 rue Saint-Victor</t>
        </is>
      </c>
      <c r="H163" s="10" t="inlineStr">
        <is>
          <t>Paris 5e</t>
        </is>
      </c>
      <c r="I163" s="10" t="inlineStr">
        <is>
          <t>75</t>
        </is>
      </c>
      <c r="J163" s="10" t="inlineStr">
        <is>
          <t>présentiel</t>
        </is>
      </c>
      <c r="K163" s="11" t="inlineStr">
        <is>
          <t>Red Hat Summit: Connect Paris 2026 : conférence tech B2B le 5 novembre à Paris. Keynotes, sessions breakout, networking avec experts Red Hat et sponsors.</t>
        </is>
      </c>
      <c r="L163" s="11" t="inlineStr">
        <is>
          <t>IT professionals, cloud practitioners and enterprise technology decision-makers</t>
        </is>
      </c>
      <c r="M163" s="10" t="inlineStr">
        <is>
          <t>Numerique, informatique, technologies</t>
        </is>
      </c>
      <c r="N163" s="10" t="inlineStr">
        <is>
          <t>Open source, cloud hybride, Linux, automatisation, IA</t>
        </is>
      </c>
      <c r="O163" s="10" t="inlineStr">
        <is>
          <t>non identifié publiquement</t>
        </is>
      </c>
      <c r="P163" s="10" t="inlineStr"/>
      <c r="Q163" s="11" t="inlineStr"/>
      <c r="R163" s="10" t="inlineStr">
        <is>
          <t>inscription libre</t>
        </is>
      </c>
      <c r="S163" s="10" t="inlineStr">
        <is>
          <t>non</t>
        </is>
      </c>
      <c r="T163" s="11" t="inlineStr"/>
      <c r="U163" s="10" t="inlineStr">
        <is>
          <t>gratuit</t>
        </is>
      </c>
      <c r="V163" s="10" t="inlineStr">
        <is>
          <t>https://www.redhat.com/en/summit/connect/emea/paris-2026</t>
        </is>
      </c>
      <c r="W163" s="10" t="inlineStr">
        <is>
          <t>2026-09-15</t>
        </is>
      </c>
      <c r="X163" s="11" t="inlineStr">
        <is>
          <t>Donnees confirmees sur le site officiel Red Hat : 5 novembre 2026, 9h00-18h30, gratuit. ECART DE DATE SIGNALE : l'agregateur Agenda Tech portait le 4 novembre. Date officielle retenue. Intervenants annonces : Red Hat et partenaires dont Intel et NVIDIA. Keynotes, sessions, networking et dejeuner.</t>
        </is>
      </c>
      <c r="Y163" s="7" t="inlineStr">
        <is>
          <t>4</t>
        </is>
      </c>
      <c r="Z163" s="7" t="inlineStr">
        <is>
          <t>Tech / IT / Logiciels / Télécom</t>
        </is>
      </c>
      <c r="AA163" s="7" t="inlineStr">
        <is>
          <t>11</t>
        </is>
      </c>
      <c r="AB163" s="7" t="inlineStr"/>
      <c r="AC163" s="7" t="inlineStr"/>
      <c r="AD163" s="7" t="inlineStr">
        <is>
          <t>1</t>
        </is>
      </c>
      <c r="AE163" s="7" t="inlineStr">
        <is>
          <t>11</t>
        </is>
      </c>
      <c r="AF163" s="7" t="inlineStr">
        <is>
          <t>IA / Automatisation / No-code / Low-code</t>
        </is>
      </c>
      <c r="AG163" s="7" t="inlineStr">
        <is>
          <t>constaté</t>
        </is>
      </c>
      <c r="AH163" s="12" t="inlineStr"/>
      <c r="AI163" s="7" t="inlineStr">
        <is>
          <t>5</t>
        </is>
      </c>
      <c r="AJ163" s="7" t="inlineStr">
        <is>
          <t>401-2000</t>
        </is>
      </c>
      <c r="AK163" s="8" t="inlineStr">
        <is>
          <t>estimé</t>
        </is>
      </c>
      <c r="AL163" s="7" t="inlineStr">
        <is>
          <t>estimation : 300 a 1500 participants</t>
        </is>
      </c>
      <c r="AM163" s="11" t="inlineStr">
        <is>
          <t>Modele de format (convention client d'editeur ou d'integrateur), fourchette 300-1500, plafonnee par la capacite du lieu (La Maison de la Mutualite, 24 rue Saint- ~ 1700)</t>
        </is>
      </c>
      <c r="AN163" s="7" t="inlineStr">
        <is>
          <t>moyenne</t>
        </is>
      </c>
      <c r="AO163" s="7" t="inlineStr">
        <is>
          <t>1|3</t>
        </is>
      </c>
      <c r="AP163" s="7" t="inlineStr">
        <is>
          <t>Décideurs PME/ETI + Opérationnels / Utilisateurs métier</t>
        </is>
      </c>
      <c r="AQ163" s="8" t="inlineStr">
        <is>
          <t>estimé</t>
        </is>
      </c>
      <c r="AR163" s="12" t="inlineStr">
        <is>
          <t>Convention client d'editeur : decideurs IT et utilisateurs metier</t>
        </is>
      </c>
      <c r="AS163" s="7" t="inlineStr">
        <is>
          <t>1</t>
        </is>
      </c>
      <c r="AT163" s="7" t="inlineStr">
        <is>
          <t>Facile</t>
        </is>
      </c>
      <c r="AU163" s="7" t="inlineStr">
        <is>
          <t>constaté</t>
        </is>
      </c>
      <c r="AV163" s="12" t="inlineStr"/>
      <c r="AW163" s="7" t="inlineStr">
        <is>
          <t>S:4 L:11 N:5 P:1|3 A:1</t>
        </is>
      </c>
    </row>
    <row r="164">
      <c r="A164" s="10" t="inlineStr">
        <is>
          <t>28es Journees de l'Orthodontie</t>
        </is>
      </c>
      <c r="B164" s="10" t="inlineStr">
        <is>
          <t>Federation Francaise d'Orthodontie (FFO)</t>
        </is>
      </c>
      <c r="C164" s="10" t="inlineStr">
        <is>
          <t>2026-11-06</t>
        </is>
      </c>
      <c r="D164" s="10" t="inlineStr">
        <is>
          <t>2026-11-08</t>
        </is>
      </c>
      <c r="E164" s="10" t="inlineStr"/>
      <c r="F164" s="10" t="inlineStr">
        <is>
          <t>annuel</t>
        </is>
      </c>
      <c r="G164" s="10" t="inlineStr">
        <is>
          <t>Palais des Congres de Paris (Porte Maillot)</t>
        </is>
      </c>
      <c r="H164" s="10" t="inlineStr">
        <is>
          <t>Paris 17e</t>
        </is>
      </c>
      <c r="I164" s="10" t="inlineStr">
        <is>
          <t>75</t>
        </is>
      </c>
      <c r="J164" s="10" t="inlineStr">
        <is>
          <t>présentiel</t>
        </is>
      </c>
      <c r="K164" s="11" t="inlineStr">
        <is>
          <t>Congres annuel des professionnels de l'orthodontie.</t>
        </is>
      </c>
      <c r="L164" s="11" t="inlineStr">
        <is>
          <t>non identifié publiquement</t>
        </is>
      </c>
      <c r="M164" s="10" t="inlineStr">
        <is>
          <t>Sante, orthodontie, dentaire</t>
        </is>
      </c>
      <c r="N164" s="10" t="inlineStr">
        <is>
          <t>non identifié publiquement</t>
        </is>
      </c>
      <c r="O164" s="10" t="inlineStr">
        <is>
          <t>non identifié publiquement</t>
        </is>
      </c>
      <c r="P164" s="10" t="inlineStr">
        <is>
          <t>CONFIRME</t>
        </is>
      </c>
      <c r="Q164" s="11" t="inlineStr">
        <is>
          <t>Chiffres publies par la Federation Francaise d'Orthodontie pour ses editions recentes ; environ 10 % de participants etrangers</t>
        </is>
      </c>
      <c r="R164" s="10" t="inlineStr">
        <is>
          <t>billet payant</t>
        </is>
      </c>
      <c r="S164" s="10" t="inlineStr">
        <is>
          <t>oui</t>
        </is>
      </c>
      <c r="T164" s="11" t="inlineStr">
        <is>
          <t>Congres reserve a la profession orthodontiste</t>
        </is>
      </c>
      <c r="U164" s="10" t="inlineStr">
        <is>
          <t>non identifié publiquement</t>
        </is>
      </c>
      <c r="V164" s="10" t="inlineStr">
        <is>
          <t>https://www.viparis.com/actualites-evenements/evenements/28emes-journees-de-l-orthodontie</t>
        </is>
      </c>
      <c r="W164" s="10" t="inlineStr">
        <is>
          <t>2026-09-15</t>
        </is>
      </c>
      <c r="X164" s="11" t="inlineStr">
        <is>
          <t>Identifie via l'agenda du lieu (Viparis).</t>
        </is>
      </c>
      <c r="Y164" s="7" t="inlineStr">
        <is>
          <t>7</t>
        </is>
      </c>
      <c r="Z164" s="7" t="inlineStr">
        <is>
          <t>Santé / Pharma / Biotech / Medtech</t>
        </is>
      </c>
      <c r="AA164" s="7" t="inlineStr"/>
      <c r="AB164" s="7" t="inlineStr"/>
      <c r="AC164" s="7" t="inlineStr">
        <is>
          <t>7|3</t>
        </is>
      </c>
      <c r="AD164" s="7" t="inlineStr">
        <is>
          <t>2</t>
        </is>
      </c>
      <c r="AE164" s="7" t="inlineStr">
        <is>
          <t>0</t>
        </is>
      </c>
      <c r="AF164" s="7" t="inlineStr">
        <is>
          <t>Générique / Multi-éditeurs / Sans dominante</t>
        </is>
      </c>
      <c r="AG164" s="8" t="inlineStr">
        <is>
          <t>estimé</t>
        </is>
      </c>
      <c r="AH164" s="12" t="inlineStr">
        <is>
          <t>Aucune dimension logicielle dans le positionnement de l'organisateur : rattache au 0 (sans dominante) plutot que laisse vide, conformement a la demande de non-vide</t>
        </is>
      </c>
      <c r="AI164" s="7" t="inlineStr">
        <is>
          <t>6</t>
        </is>
      </c>
      <c r="AJ164" s="7" t="inlineStr">
        <is>
          <t>&gt;2000</t>
        </is>
      </c>
      <c r="AK164" s="7" t="inlineStr">
        <is>
          <t>constaté</t>
        </is>
      </c>
      <c r="AL164" s="7" t="inlineStr">
        <is>
          <t>plus de 2 500 inscrits, plus de 2 000 m2 d'exposition</t>
        </is>
      </c>
      <c r="AM164" s="11" t="inlineStr">
        <is>
          <t>Chiffres publies par la Federation Francaise d'Orthodontie pour ses editions recentes ; environ 10 % de participants etrangers</t>
        </is>
      </c>
      <c r="AN164" s="7" t="inlineStr">
        <is>
          <t>haute</t>
        </is>
      </c>
      <c r="AO164" s="7" t="inlineStr">
        <is>
          <t>7|3</t>
        </is>
      </c>
      <c r="AP164" s="7" t="inlineStr">
        <is>
          <t>Experts / Advisors / Associations professionnelles + Opérationnels / Utilisateurs métier</t>
        </is>
      </c>
      <c r="AQ164" s="7" t="inlineStr">
        <is>
          <t>constaté</t>
        </is>
      </c>
      <c r="AR164" s="12" t="inlineStr"/>
      <c r="AS164" s="7" t="inlineStr">
        <is>
          <t>2</t>
        </is>
      </c>
      <c r="AT164" s="7" t="inlineStr">
        <is>
          <t>Moyen</t>
        </is>
      </c>
      <c r="AU164" s="7" t="inlineStr">
        <is>
          <t>constaté</t>
        </is>
      </c>
      <c r="AV164" s="12" t="inlineStr"/>
      <c r="AW164" s="7" t="inlineStr">
        <is>
          <t>S:7 L:0 N:6 P:7|3 A:2</t>
        </is>
      </c>
    </row>
    <row r="165">
      <c r="A165" s="10" t="inlineStr">
        <is>
          <t>56es Journees de l'Ecole de la Cause Freudienne</t>
        </is>
      </c>
      <c r="B165" s="10" t="inlineStr">
        <is>
          <t>Ecole de la Cause Freudienne</t>
        </is>
      </c>
      <c r="C165" s="10" t="inlineStr">
        <is>
          <t>2026-11-07</t>
        </is>
      </c>
      <c r="D165" s="10" t="inlineStr">
        <is>
          <t>2026-11-08</t>
        </is>
      </c>
      <c r="E165" s="10" t="inlineStr"/>
      <c r="F165" s="10" t="inlineStr">
        <is>
          <t>annuel</t>
        </is>
      </c>
      <c r="G165" s="10" t="inlineStr">
        <is>
          <t>Palais des Congres de Paris (Porte Maillot)</t>
        </is>
      </c>
      <c r="H165" s="10" t="inlineStr">
        <is>
          <t>Paris 17e</t>
        </is>
      </c>
      <c r="I165" s="10" t="inlineStr">
        <is>
          <t>75</t>
        </is>
      </c>
      <c r="J165" s="10" t="inlineStr">
        <is>
          <t>présentiel</t>
        </is>
      </c>
      <c r="K165" s="11" t="inlineStr">
        <is>
          <t>Journees annuelles de l'ecole de psychanalyse.</t>
        </is>
      </c>
      <c r="L165" s="11" t="inlineStr">
        <is>
          <t>non identifié publiquement</t>
        </is>
      </c>
      <c r="M165" s="10" t="inlineStr">
        <is>
          <t>Psychanalyse, sante mentale</t>
        </is>
      </c>
      <c r="N165" s="10" t="inlineStr">
        <is>
          <t>non identifié publiquement</t>
        </is>
      </c>
      <c r="O165" s="10" t="inlineStr">
        <is>
          <t>non identifié publiquement</t>
        </is>
      </c>
      <c r="P165" s="10" t="inlineStr"/>
      <c r="Q165" s="11" t="inlineStr"/>
      <c r="R165" s="10" t="inlineStr">
        <is>
          <t>billet payant</t>
        </is>
      </c>
      <c r="S165" s="10" t="inlineStr">
        <is>
          <t>oui</t>
        </is>
      </c>
      <c r="T165" s="11" t="inlineStr">
        <is>
          <t>Journees orientees praticiens et membres de l'ecole</t>
        </is>
      </c>
      <c r="U165" s="10" t="inlineStr">
        <is>
          <t>non identifié publiquement</t>
        </is>
      </c>
      <c r="V165" s="10" t="inlineStr">
        <is>
          <t>https://www.viparis.com/actualites-evenements/evenements/56es-journees-de-l-ecole-de-la-cause-freudienne-le-sens</t>
        </is>
      </c>
      <c r="W165" s="10" t="inlineStr">
        <is>
          <t>2026-09-15</t>
        </is>
      </c>
      <c r="X165" s="11" t="inlineStr">
        <is>
          <t>Identifie via l'agenda du lieu (Viparis). Pertinence ICP faible, conserve par exhaustivite (volet professionnel avere).</t>
        </is>
      </c>
      <c r="Y165" s="7" t="inlineStr">
        <is>
          <t>7</t>
        </is>
      </c>
      <c r="Z165" s="7" t="inlineStr">
        <is>
          <t>Santé / Pharma / Biotech / Medtech</t>
        </is>
      </c>
      <c r="AA165" s="7" t="inlineStr"/>
      <c r="AB165" s="7" t="inlineStr"/>
      <c r="AC165" s="7" t="inlineStr">
        <is>
          <t>7|10</t>
        </is>
      </c>
      <c r="AD165" s="7" t="inlineStr">
        <is>
          <t>2</t>
        </is>
      </c>
      <c r="AE165" s="7" t="inlineStr">
        <is>
          <t>0</t>
        </is>
      </c>
      <c r="AF165" s="7" t="inlineStr">
        <is>
          <t>Générique / Multi-éditeurs / Sans dominante</t>
        </is>
      </c>
      <c r="AG165" s="8" t="inlineStr">
        <is>
          <t>estimé</t>
        </is>
      </c>
      <c r="AH165" s="12" t="inlineStr">
        <is>
          <t>Aucune dimension logicielle dans le positionnement de l'organisateur : rattache au 0 (sans dominante) plutot que laisse vide, conformement a la demande de non-vide</t>
        </is>
      </c>
      <c r="AI165" s="7" t="inlineStr">
        <is>
          <t>6</t>
        </is>
      </c>
      <c r="AJ165" s="7" t="inlineStr">
        <is>
          <t>&gt;2000</t>
        </is>
      </c>
      <c r="AK165" s="8" t="inlineStr">
        <is>
          <t>estimé</t>
        </is>
      </c>
      <c r="AL165" s="7" t="inlineStr">
        <is>
          <t>estimation : 1000 a 6000 participants</t>
        </is>
      </c>
      <c r="AM165" s="11" t="inlineStr">
        <is>
          <t>Modele de format (congres de societe savante), fourchette 1000-6000, plafonnee par la capacite du lieu (Palais des Congres de Paris (Porte Maill ~ 10000)</t>
        </is>
      </c>
      <c r="AN165" s="7" t="inlineStr">
        <is>
          <t>moyenne</t>
        </is>
      </c>
      <c r="AO165" s="7" t="inlineStr">
        <is>
          <t>7|10</t>
        </is>
      </c>
      <c r="AP165" s="7" t="inlineStr">
        <is>
          <t>Experts / Advisors / Associations professionnelles + Étudiants / Jeunes diplômés / Écoles</t>
        </is>
      </c>
      <c r="AQ165" s="7" t="inlineStr">
        <is>
          <t>constaté</t>
        </is>
      </c>
      <c r="AR165" s="12" t="inlineStr"/>
      <c r="AS165" s="7" t="inlineStr">
        <is>
          <t>2</t>
        </is>
      </c>
      <c r="AT165" s="7" t="inlineStr">
        <is>
          <t>Moyen</t>
        </is>
      </c>
      <c r="AU165" s="7" t="inlineStr">
        <is>
          <t>constaté</t>
        </is>
      </c>
      <c r="AV165" s="12" t="inlineStr"/>
      <c r="AW165" s="7" t="inlineStr">
        <is>
          <t>S:7 L:0 N:6 P:7|10 A:2</t>
        </is>
      </c>
    </row>
    <row r="166">
      <c r="A166" s="10" t="inlineStr">
        <is>
          <t>Salon de la Street Food 2026 (7e edition)</t>
        </is>
      </c>
      <c r="B166" s="10" t="inlineStr">
        <is>
          <t>non identifié publiquement</t>
        </is>
      </c>
      <c r="C166" s="10" t="inlineStr">
        <is>
          <t>2026-11-07</t>
        </is>
      </c>
      <c r="D166" s="10" t="inlineStr">
        <is>
          <t>2026-11-08</t>
        </is>
      </c>
      <c r="E166" s="10" t="inlineStr"/>
      <c r="F166" s="10" t="inlineStr">
        <is>
          <t>annuel</t>
        </is>
      </c>
      <c r="G166" s="10" t="inlineStr">
        <is>
          <t>Parc des Expositions de Paris Nord Villepinte</t>
        </is>
      </c>
      <c r="H166" s="10" t="inlineStr">
        <is>
          <t>Villepinte</t>
        </is>
      </c>
      <c r="I166" s="10" t="inlineStr">
        <is>
          <t>93</t>
        </is>
      </c>
      <c r="J166" s="10" t="inlineStr">
        <is>
          <t>présentiel</t>
        </is>
      </c>
      <c r="K166" s="11" t="inlineStr">
        <is>
          <t>Salon dedie a la restauration rapide : franchises, fournisseurs, experts, equipementiers et acteurs du digital.</t>
        </is>
      </c>
      <c r="L166" s="11" t="inlineStr">
        <is>
          <t>professionnels de la restauration rapide : franchises, fournisseurs, experts, equipementiers et acteurs du digital</t>
        </is>
      </c>
      <c r="M166" s="10" t="inlineStr">
        <is>
          <t>Alimentation, hôtellerie, restauration et leurs équipements</t>
        </is>
      </c>
      <c r="N166" s="10" t="inlineStr">
        <is>
          <t>Solutions digitales pour la restauration rapide (acteurs du digital annonces parmi les exposants)</t>
        </is>
      </c>
      <c r="O166" s="10" t="inlineStr">
        <is>
          <t>plus de 6 000 visiteurs, 61 exposants, 15 experts du digital et start-up, 24 fournisseurs</t>
        </is>
      </c>
      <c r="P166" s="10" t="inlineStr">
        <is>
          <t>ESTIME</t>
        </is>
      </c>
      <c r="Q166" s="11" t="inlineStr">
        <is>
          <t>Chiffres annonces pour l'edition 2026 par des sources tierces concordantes (jds.fr, lexpress-franchise.com) reprenant l'organisateur</t>
        </is>
      </c>
      <c r="R166" s="10" t="inlineStr">
        <is>
          <t>inscription libre</t>
        </is>
      </c>
      <c r="S166" s="10" t="inlineStr">
        <is>
          <t>oui</t>
        </is>
      </c>
      <c r="T166" s="11" t="inlineStr">
        <is>
          <t>Salon reserve aux professionnels de la restauration</t>
        </is>
      </c>
      <c r="U166" s="10" t="inlineStr">
        <is>
          <t>non identifié publiquement</t>
        </is>
      </c>
      <c r="V166" s="10" t="inlineStr">
        <is>
          <t>https://franchisehalal.fr/salon/</t>
        </is>
      </c>
      <c r="W166" s="10" t="inlineStr">
        <is>
          <t>2026-09-15</t>
        </is>
      </c>
      <c r="X166" s="11" t="inlineStr">
        <is>
          <t>Organise autour de la franchise halal (franchisehalal.fr). Surface annoncee 8 000 m2, doublee par rapport a l'edition precedente.</t>
        </is>
      </c>
      <c r="Y166" s="7" t="inlineStr">
        <is>
          <t>6|14</t>
        </is>
      </c>
      <c r="Z166" s="7" t="inlineStr">
        <is>
          <t>Agroalimentaire / Agriculture + Hôtellerie / Restauration / Tourisme</t>
        </is>
      </c>
      <c r="AA166" s="7" t="inlineStr"/>
      <c r="AB166" s="7" t="inlineStr">
        <is>
          <t>6</t>
        </is>
      </c>
      <c r="AC166" s="7" t="inlineStr">
        <is>
          <t>3|7</t>
        </is>
      </c>
      <c r="AD166" s="7" t="inlineStr">
        <is>
          <t>2</t>
        </is>
      </c>
      <c r="AE166" s="7" t="inlineStr">
        <is>
          <t>0</t>
        </is>
      </c>
      <c r="AF166" s="7" t="inlineStr">
        <is>
          <t>Générique / Multi-éditeurs / Sans dominante</t>
        </is>
      </c>
      <c r="AG166" s="8" t="inlineStr">
        <is>
          <t>estimé</t>
        </is>
      </c>
      <c r="AH166" s="12" t="inlineStr">
        <is>
          <t>Dimension logicielle plausible mais non documentee : rattache au 0 (sans dominante)</t>
        </is>
      </c>
      <c r="AI166" s="7" t="inlineStr">
        <is>
          <t>6</t>
        </is>
      </c>
      <c r="AJ166" s="7" t="inlineStr">
        <is>
          <t>&gt;2000</t>
        </is>
      </c>
      <c r="AK166" s="7" t="inlineStr">
        <is>
          <t>constaté</t>
        </is>
      </c>
      <c r="AL166" s="7" t="inlineStr">
        <is>
          <t>plus de 6 000 visiteurs, 61 exposants, 15 experts du digital et start-up, 24 fournisseurs</t>
        </is>
      </c>
      <c r="AM166" s="11" t="inlineStr">
        <is>
          <t>Chiffre publie par l'organisateur (colonne taille_source)</t>
        </is>
      </c>
      <c r="AN166" s="7" t="inlineStr">
        <is>
          <t>haute</t>
        </is>
      </c>
      <c r="AO166" s="7" t="inlineStr">
        <is>
          <t>3|7</t>
        </is>
      </c>
      <c r="AP166" s="7" t="inlineStr">
        <is>
          <t>Opérationnels / Utilisateurs métier + Experts / Advisors / Associations professionnelles</t>
        </is>
      </c>
      <c r="AQ166" s="7" t="inlineStr">
        <is>
          <t>constaté</t>
        </is>
      </c>
      <c r="AR166" s="12" t="inlineStr"/>
      <c r="AS166" s="7" t="inlineStr">
        <is>
          <t>2</t>
        </is>
      </c>
      <c r="AT166" s="7" t="inlineStr">
        <is>
          <t>Moyen</t>
        </is>
      </c>
      <c r="AU166" s="7" t="inlineStr">
        <is>
          <t>constaté</t>
        </is>
      </c>
      <c r="AV166" s="12" t="inlineStr"/>
      <c r="AW166" s="7" t="inlineStr">
        <is>
          <t>S:6|14 L:0 N:6 P:3|7 A:2</t>
        </is>
      </c>
    </row>
    <row r="167">
      <c r="A167" s="10" t="inlineStr">
        <is>
          <t>Colloque International du GNCRA 2026 (3e edition)</t>
        </is>
      </c>
      <c r="B167" s="10" t="inlineStr">
        <is>
          <t>GNCRA - Groupement National de Centres Ressources Autisme</t>
        </is>
      </c>
      <c r="C167" s="10" t="inlineStr">
        <is>
          <t>2026-11-12</t>
        </is>
      </c>
      <c r="D167" s="10" t="inlineStr">
        <is>
          <t>2026-11-13</t>
        </is>
      </c>
      <c r="E167" s="10" t="inlineStr"/>
      <c r="F167" s="10" t="inlineStr">
        <is>
          <t>annuel</t>
        </is>
      </c>
      <c r="G167" s="10" t="inlineStr">
        <is>
          <t>CNIT Forest - Paris La Defense</t>
        </is>
      </c>
      <c r="H167" s="10" t="inlineStr">
        <is>
          <t>Puteaux</t>
        </is>
      </c>
      <c r="I167" s="10" t="inlineStr">
        <is>
          <t>92</t>
        </is>
      </c>
      <c r="J167" s="10" t="inlineStr">
        <is>
          <t>présentiel</t>
        </is>
      </c>
      <c r="K167" s="11" t="inlineStr">
        <is>
          <t>Colloque international sur les troubles du neurodeveloppement et l'autisme.</t>
        </is>
      </c>
      <c r="L167" s="11" t="inlineStr">
        <is>
          <t>professionnels des troubles du neurodeveloppement</t>
        </is>
      </c>
      <c r="M167" s="10" t="inlineStr">
        <is>
          <t>Sante, medico-social, autisme</t>
        </is>
      </c>
      <c r="N167" s="10" t="inlineStr">
        <is>
          <t>non identifié publiquement</t>
        </is>
      </c>
      <c r="O167" s="10" t="inlineStr">
        <is>
          <t>non identifié publiquement</t>
        </is>
      </c>
      <c r="P167" s="10" t="inlineStr"/>
      <c r="Q167" s="11" t="inlineStr"/>
      <c r="R167" s="10" t="inlineStr">
        <is>
          <t>billet payant</t>
        </is>
      </c>
      <c r="S167" s="10" t="inlineStr">
        <is>
          <t>oui</t>
        </is>
      </c>
      <c r="T167" s="11" t="inlineStr">
        <is>
          <t>Colloque oriente professionnels du secteur medico-social</t>
        </is>
      </c>
      <c r="U167" s="10" t="inlineStr">
        <is>
          <t>non identifié publiquement</t>
        </is>
      </c>
      <c r="V167" s="10" t="inlineStr">
        <is>
          <t>https://www.viparis.com/actualites-evenements/evenements/colloque-international-du-gncra-3eme-edition-autisme</t>
        </is>
      </c>
      <c r="W167" s="10" t="inlineStr">
        <is>
          <t>2026-09-15</t>
        </is>
      </c>
      <c r="X167" s="11" t="inlineStr">
        <is>
          <t>Identifie via l'agenda du lieu (Viparis).</t>
        </is>
      </c>
      <c r="Y167" s="7" t="inlineStr">
        <is>
          <t>7</t>
        </is>
      </c>
      <c r="Z167" s="7" t="inlineStr">
        <is>
          <t>Santé / Pharma / Biotech / Medtech</t>
        </is>
      </c>
      <c r="AA167" s="7" t="inlineStr"/>
      <c r="AB167" s="7" t="inlineStr"/>
      <c r="AC167" s="7" t="inlineStr">
        <is>
          <t>7</t>
        </is>
      </c>
      <c r="AD167" s="7" t="inlineStr">
        <is>
          <t>2</t>
        </is>
      </c>
      <c r="AE167" s="7" t="inlineStr">
        <is>
          <t>0</t>
        </is>
      </c>
      <c r="AF167" s="7" t="inlineStr">
        <is>
          <t>Générique / Multi-éditeurs / Sans dominante</t>
        </is>
      </c>
      <c r="AG167" s="8" t="inlineStr">
        <is>
          <t>estimé</t>
        </is>
      </c>
      <c r="AH167" s="12" t="inlineStr">
        <is>
          <t>Aucune dimension logicielle dans le positionnement de l'organisateur : rattache au 0 (sans dominante) plutot que laisse vide, conformement a la demande de non-vide</t>
        </is>
      </c>
      <c r="AI167" s="7" t="inlineStr">
        <is>
          <t>5</t>
        </is>
      </c>
      <c r="AJ167" s="7" t="inlineStr">
        <is>
          <t>401-2000</t>
        </is>
      </c>
      <c r="AK167" s="8" t="inlineStr">
        <is>
          <t>estimé</t>
        </is>
      </c>
      <c r="AL167" s="7" t="inlineStr">
        <is>
          <t>estimation : 1000 a 2500 participants</t>
        </is>
      </c>
      <c r="AM167" s="11" t="inlineStr">
        <is>
          <t>Modele de format (congres de societe savante), fourchette 1000-2500, plafonnee par la capacite du lieu (CNIT Forest - Paris La Defense ~ 2500)</t>
        </is>
      </c>
      <c r="AN167" s="7" t="inlineStr">
        <is>
          <t>moyenne</t>
        </is>
      </c>
      <c r="AO167" s="7" t="inlineStr">
        <is>
          <t>7</t>
        </is>
      </c>
      <c r="AP167" s="7" t="inlineStr">
        <is>
          <t>Experts / Advisors / Associations professionnelles</t>
        </is>
      </c>
      <c r="AQ167" s="7" t="inlineStr">
        <is>
          <t>constaté</t>
        </is>
      </c>
      <c r="AR167" s="12" t="inlineStr"/>
      <c r="AS167" s="7" t="inlineStr">
        <is>
          <t>2</t>
        </is>
      </c>
      <c r="AT167" s="7" t="inlineStr">
        <is>
          <t>Moyen</t>
        </is>
      </c>
      <c r="AU167" s="7" t="inlineStr">
        <is>
          <t>constaté</t>
        </is>
      </c>
      <c r="AV167" s="12" t="inlineStr"/>
      <c r="AW167" s="7" t="inlineStr">
        <is>
          <t>S:7 L:0 N:5 P:7 A:2</t>
        </is>
      </c>
    </row>
    <row r="168">
      <c r="A168" s="10" t="inlineStr">
        <is>
          <t>Formation numerique : animez vos reseaux sociaux a l'aide de l'IA</t>
        </is>
      </c>
      <c r="B168" s="10" t="inlineStr">
        <is>
          <t>CCI Paris Ile-de-France</t>
        </is>
      </c>
      <c r="C168" s="10" t="inlineStr">
        <is>
          <t>2026-11-12</t>
        </is>
      </c>
      <c r="D168" s="10" t="inlineStr"/>
      <c r="E168" s="10" t="inlineStr"/>
      <c r="F168" s="10" t="inlineStr">
        <is>
          <t>non identifié publiquement</t>
        </is>
      </c>
      <c r="G168" s="10" t="inlineStr">
        <is>
          <t>CCI Hauts-de-Seine - Coeur Defense, Tour A, 2e etage</t>
        </is>
      </c>
      <c r="H168" s="10" t="inlineStr">
        <is>
          <t>Courbevoie (quartier Paris La Defense)</t>
        </is>
      </c>
      <c r="I168" s="10" t="inlineStr">
        <is>
          <t>92</t>
        </is>
      </c>
      <c r="J168" s="10" t="inlineStr">
        <is>
          <t>présentiel</t>
        </is>
      </c>
      <c r="K168" s="11" t="inlineStr">
        <is>
          <t>Formation a l'animation des reseaux sociaux assistee par l'IA.</t>
        </is>
      </c>
      <c r="L168" s="11" t="inlineStr">
        <is>
          <t>non identifié publiquement</t>
        </is>
      </c>
      <c r="M168" s="10" t="inlineStr">
        <is>
          <t>Tous secteurs</t>
        </is>
      </c>
      <c r="N168" s="10" t="inlineStr">
        <is>
          <t>Intelligence artificielle generative, agents IA, automatisation</t>
        </is>
      </c>
      <c r="O168" s="10" t="inlineStr">
        <is>
          <t>non identifié publiquement</t>
        </is>
      </c>
      <c r="P168" s="10" t="inlineStr"/>
      <c r="Q168" s="11" t="inlineStr"/>
      <c r="R168" s="10" t="inlineStr">
        <is>
          <t>inscription libre</t>
        </is>
      </c>
      <c r="S168" s="10" t="inlineStr">
        <is>
          <t>non</t>
        </is>
      </c>
      <c r="T168" s="11" t="inlineStr"/>
      <c r="U168" s="10" t="inlineStr">
        <is>
          <t>495 EUR TTC</t>
        </is>
      </c>
      <c r="V168" s="10" t="inlineStr">
        <is>
          <t>https://www.entreprises.cci-paris-idf.fr/evenements/formation-numerique-animez-vos-reseaux-sociaux-laide-de-lia</t>
        </is>
      </c>
      <c r="W168" s="10" t="inlineStr">
        <is>
          <t>2026-09-15</t>
        </is>
      </c>
      <c r="X168" s="11" t="inlineStr">
        <is>
          <t>ATELIER IA : concurrence directe ou partenariat possible pour une offre de conseil IA aupres des PME. La CCI Paris IDF a industrialise une offre IA pour TPE-PME sur la periode.</t>
        </is>
      </c>
      <c r="Y168" s="7" t="inlineStr">
        <is>
          <t>16</t>
        </is>
      </c>
      <c r="Z168" s="7" t="inlineStr">
        <is>
          <t>IA / Intelligence artificielle</t>
        </is>
      </c>
      <c r="AA168" s="7" t="inlineStr">
        <is>
          <t>11</t>
        </is>
      </c>
      <c r="AB168" s="7" t="inlineStr"/>
      <c r="AC168" s="7" t="inlineStr"/>
      <c r="AD168" s="7" t="inlineStr">
        <is>
          <t>2</t>
        </is>
      </c>
      <c r="AE168" s="7" t="inlineStr">
        <is>
          <t>11</t>
        </is>
      </c>
      <c r="AF168" s="7" t="inlineStr">
        <is>
          <t>IA / Automatisation / No-code / Low-code</t>
        </is>
      </c>
      <c r="AG168" s="7" t="inlineStr">
        <is>
          <t>constaté</t>
        </is>
      </c>
      <c r="AH168" s="12" t="inlineStr"/>
      <c r="AI168" s="7" t="inlineStr">
        <is>
          <t>2</t>
        </is>
      </c>
      <c r="AJ168" s="7" t="inlineStr">
        <is>
          <t>16-40</t>
        </is>
      </c>
      <c r="AK168" s="8" t="inlineStr">
        <is>
          <t>estimé</t>
        </is>
      </c>
      <c r="AL168" s="7" t="inlineStr">
        <is>
          <t>estimation : 10 a 30 participants</t>
        </is>
      </c>
      <c r="AM168" s="11" t="inlineStr">
        <is>
          <t>Modele de format (atelier ou formation en chambre de commerce), fourchette 10-30, plafonnee par la capacite du lieu (CCI Hauts-de-Seine - Coeur Defense, Tour ~ 120)</t>
        </is>
      </c>
      <c r="AN168" s="7" t="inlineStr">
        <is>
          <t>moyenne</t>
        </is>
      </c>
      <c r="AO168" s="7" t="inlineStr">
        <is>
          <t>1</t>
        </is>
      </c>
      <c r="AP168" s="7" t="inlineStr">
        <is>
          <t>Décideurs PME/ETI</t>
        </is>
      </c>
      <c r="AQ168" s="8" t="inlineStr">
        <is>
          <t>estimé</t>
        </is>
      </c>
      <c r="AR168" s="12" t="inlineStr">
        <is>
          <t>Organisateur CCI : public cible structurel de dirigeants et collaborateurs de TPE-PME</t>
        </is>
      </c>
      <c r="AS168" s="7" t="inlineStr">
        <is>
          <t>2</t>
        </is>
      </c>
      <c r="AT168" s="7" t="inlineStr">
        <is>
          <t>Moyen</t>
        </is>
      </c>
      <c r="AU168" s="7" t="inlineStr">
        <is>
          <t>constaté</t>
        </is>
      </c>
      <c r="AV168" s="12" t="inlineStr"/>
      <c r="AW168" s="7" t="inlineStr">
        <is>
          <t>S:16 L:11 N:2 P:1 A:2</t>
        </is>
      </c>
    </row>
    <row r="169">
      <c r="A169" s="10" t="inlineStr">
        <is>
          <t>Paris Photo 2026</t>
        </is>
      </c>
      <c r="B169" s="10" t="inlineStr">
        <is>
          <t>RX France (Reed Exhibitions)</t>
        </is>
      </c>
      <c r="C169" s="10" t="inlineStr">
        <is>
          <t>2026-11-12</t>
        </is>
      </c>
      <c r="D169" s="10" t="inlineStr">
        <is>
          <t>2026-11-15</t>
        </is>
      </c>
      <c r="E169" s="10" t="inlineStr"/>
      <c r="F169" s="10" t="inlineStr">
        <is>
          <t>annuel</t>
        </is>
      </c>
      <c r="G169" s="10" t="inlineStr">
        <is>
          <t>Grand Palais</t>
        </is>
      </c>
      <c r="H169" s="10" t="inlineStr">
        <is>
          <t>Paris 8e</t>
        </is>
      </c>
      <c r="I169" s="10" t="inlineStr">
        <is>
          <t>75</t>
        </is>
      </c>
      <c r="J169" s="10" t="inlineStr">
        <is>
          <t>présentiel</t>
        </is>
      </c>
      <c r="K169" s="11" t="inlineStr">
        <is>
          <t>Foire internationale de la photographie reunissant galeries, editeurs, collectionneurs et institutions.</t>
        </is>
      </c>
      <c r="L169" s="11" t="inlineStr">
        <is>
          <t>Visitorat : mixte (fiche CCI Paris Ile-de-France)</t>
        </is>
      </c>
      <c r="M169" s="10" t="inlineStr">
        <is>
          <t>Art, culture, musique, spectacles</t>
        </is>
      </c>
      <c r="N169" s="10" t="inlineStr">
        <is>
          <t>non identifié publiquement</t>
        </is>
      </c>
      <c r="O169" s="10" t="inlineStr">
        <is>
          <t>non identifié publiquement</t>
        </is>
      </c>
      <c r="P169" s="10" t="inlineStr"/>
      <c r="Q169" s="11" t="inlineStr"/>
      <c r="R169" s="10" t="inlineStr">
        <is>
          <t>billet payant</t>
        </is>
      </c>
      <c r="S169" s="10" t="inlineStr">
        <is>
          <t>non</t>
        </is>
      </c>
      <c r="T169" s="11" t="inlineStr"/>
      <c r="U169" s="10" t="inlineStr">
        <is>
          <t>non identifié publiquement</t>
        </is>
      </c>
      <c r="V169" s="10" t="inlineStr">
        <is>
          <t>https://www.cci-paris-idf.fr/fr/evenements-salons/salons-foires-paris-ile-de-france/paris-photo</t>
        </is>
      </c>
      <c r="W169" s="10" t="inlineStr">
        <is>
          <t>2026-09-15</t>
        </is>
      </c>
      <c r="X169" s="11" t="inlineStr">
        <is>
          <t>Fiche CCI : visitorat 'mixte'. Volet professionnel reel (galeries, editeurs, marchands, conservateurs) justifiant la conservation ; journees professionnelles precises non identifiees publiquement au 15/09/2026. Faible pertinence ICP.</t>
        </is>
      </c>
      <c r="Y169" s="7" t="inlineStr">
        <is>
          <t>15</t>
        </is>
      </c>
      <c r="Z169" s="7" t="inlineStr">
        <is>
          <t>Médias / Communication / Culture / Divertissement</t>
        </is>
      </c>
      <c r="AA169" s="7" t="inlineStr"/>
      <c r="AB169" s="7" t="inlineStr"/>
      <c r="AC169" s="7" t="inlineStr">
        <is>
          <t>5</t>
        </is>
      </c>
      <c r="AD169" s="7" t="inlineStr">
        <is>
          <t>2</t>
        </is>
      </c>
      <c r="AE169" s="7" t="inlineStr">
        <is>
          <t>0</t>
        </is>
      </c>
      <c r="AF169" s="7" t="inlineStr">
        <is>
          <t>Générique / Multi-éditeurs / Sans dominante</t>
        </is>
      </c>
      <c r="AG169" s="8" t="inlineStr">
        <is>
          <t>estimé</t>
        </is>
      </c>
      <c r="AH169" s="12" t="inlineStr">
        <is>
          <t>Dimension logicielle plausible mais non documentee : rattache au 0 (sans dominante)</t>
        </is>
      </c>
      <c r="AI169" s="7" t="inlineStr">
        <is>
          <t>6</t>
        </is>
      </c>
      <c r="AJ169" s="7" t="inlineStr">
        <is>
          <t>&gt;2000</t>
        </is>
      </c>
      <c r="AK169" s="8" t="inlineStr">
        <is>
          <t>estimé</t>
        </is>
      </c>
      <c r="AL169" s="7" t="inlineStr">
        <is>
          <t>estimation : 3000 a 10000 participants</t>
        </is>
      </c>
      <c r="AM169" s="11" t="inlineStr">
        <is>
          <t>Modele de format (salon professionnel d'un operateur de salons), fourchette 3000-10000, plafonnee par la capacite du lieu (Grand Palais ~ 10000)</t>
        </is>
      </c>
      <c r="AN169" s="7" t="inlineStr">
        <is>
          <t>moyenne</t>
        </is>
      </c>
      <c r="AO169" s="7" t="inlineStr">
        <is>
          <t>5</t>
        </is>
      </c>
      <c r="AP169" s="7" t="inlineStr">
        <is>
          <t>Pairs / Concurrents / Acteurs de l'offre</t>
        </is>
      </c>
      <c r="AQ169" s="7" t="inlineStr">
        <is>
          <t>constaté</t>
        </is>
      </c>
      <c r="AR169" s="12" t="inlineStr"/>
      <c r="AS169" s="7" t="inlineStr">
        <is>
          <t>2</t>
        </is>
      </c>
      <c r="AT169" s="7" t="inlineStr">
        <is>
          <t>Moyen</t>
        </is>
      </c>
      <c r="AU169" s="7" t="inlineStr">
        <is>
          <t>constaté</t>
        </is>
      </c>
      <c r="AV169" s="12" t="inlineStr"/>
      <c r="AW169" s="7" t="inlineStr">
        <is>
          <t>S:15 L:0 N:6 P:5 A:2</t>
        </is>
      </c>
    </row>
    <row r="170">
      <c r="A170" s="10" t="inlineStr">
        <is>
          <t>SANS Paris November 2026</t>
        </is>
      </c>
      <c r="B170" s="10" t="inlineStr">
        <is>
          <t>SANS Institute</t>
        </is>
      </c>
      <c r="C170" s="10" t="inlineStr">
        <is>
          <t>2026-11-15</t>
        </is>
      </c>
      <c r="D170" s="10" t="inlineStr">
        <is>
          <t>2026-11-27</t>
        </is>
      </c>
      <c r="E170" s="10" t="inlineStr"/>
      <c r="F170" s="10" t="inlineStr">
        <is>
          <t>non identifié publiquement</t>
        </is>
      </c>
      <c r="G170" s="10" t="inlineStr">
        <is>
          <t>Paris Marriott Opera Ambassador Hotel</t>
        </is>
      </c>
      <c r="H170" s="10" t="inlineStr">
        <is>
          <t>Paris (arrondissement selon le lieu)</t>
        </is>
      </c>
      <c r="I170" s="10" t="inlineStr">
        <is>
          <t>75</t>
        </is>
      </c>
      <c r="J170" s="10" t="inlineStr">
        <is>
          <t>présentiel</t>
        </is>
      </c>
      <c r="K170" s="11" t="inlineStr">
        <is>
          <t>Formation cybersécurité en présentiel à Paris (16-28 nov 2026). 12 cours, labs pratiques, certifications GIAC, instructeurs experts.</t>
        </is>
      </c>
      <c r="L170" s="11" t="inlineStr">
        <is>
          <t>non identifié publiquement</t>
        </is>
      </c>
      <c r="M170" s="10" t="inlineStr">
        <is>
          <t>Numerique, informatique, technologies</t>
        </is>
      </c>
      <c r="N170" s="10" t="inlineStr">
        <is>
          <t>non identifié publiquement</t>
        </is>
      </c>
      <c r="O170" s="10" t="inlineStr">
        <is>
          <t>non identifié publiquement</t>
        </is>
      </c>
      <c r="P170" s="10" t="inlineStr"/>
      <c r="Q170" s="11" t="inlineStr"/>
      <c r="R170" s="10" t="inlineStr">
        <is>
          <t>non identifié publiquement</t>
        </is>
      </c>
      <c r="S170" s="10" t="inlineStr">
        <is>
          <t>non</t>
        </is>
      </c>
      <c r="T170" s="11" t="inlineStr"/>
      <c r="U170" s="10" t="inlineStr">
        <is>
          <t>non identifié publiquement</t>
        </is>
      </c>
      <c r="V170" s="10" t="inlineStr">
        <is>
          <t>https://www.agenda-tech.com/events/sans-paris-cybersecurity-training-novembre-2026</t>
        </is>
      </c>
      <c r="W170" s="10" t="inlineStr">
        <is>
          <t>2026-09-15</t>
        </is>
      </c>
      <c r="X170" s="11" t="inlineStr">
        <is>
          <t>Identifie via l'agregateur specialise Agenda Tech (donnees structurees schema.org publiees par l'organisateur).</t>
        </is>
      </c>
      <c r="Y170" s="7" t="inlineStr">
        <is>
          <t>4</t>
        </is>
      </c>
      <c r="Z170" s="7" t="inlineStr">
        <is>
          <t>Tech / IT / Logiciels / Télécom</t>
        </is>
      </c>
      <c r="AA170" s="7" t="inlineStr">
        <is>
          <t>10</t>
        </is>
      </c>
      <c r="AB170" s="7" t="inlineStr"/>
      <c r="AC170" s="7" t="inlineStr">
        <is>
          <t>7</t>
        </is>
      </c>
      <c r="AD170" s="7" t="inlineStr"/>
      <c r="AE170" s="7" t="inlineStr">
        <is>
          <t>10</t>
        </is>
      </c>
      <c r="AF170" s="7" t="inlineStr">
        <is>
          <t>Cybersécurité</t>
        </is>
      </c>
      <c r="AG170" s="7" t="inlineStr">
        <is>
          <t>constaté</t>
        </is>
      </c>
      <c r="AH170" s="12" t="inlineStr"/>
      <c r="AI170" s="7" t="inlineStr">
        <is>
          <t>4</t>
        </is>
      </c>
      <c r="AJ170" s="7" t="inlineStr">
        <is>
          <t>121-400</t>
        </is>
      </c>
      <c r="AK170" s="8" t="inlineStr">
        <is>
          <t>estimé</t>
        </is>
      </c>
      <c r="AL170" s="7" t="inlineStr">
        <is>
          <t>estimation : 100 a 500 participants</t>
        </is>
      </c>
      <c r="AM170" s="11" t="inlineStr">
        <is>
          <t>Modele de format (format non caracterise), fourchette 100-500, plafonnee par la capacite du lieu (Paris Marriott Opera Ambassador Hotel ~ 600)</t>
        </is>
      </c>
      <c r="AN170" s="7" t="inlineStr">
        <is>
          <t>faible</t>
        </is>
      </c>
      <c r="AO170" s="7" t="inlineStr">
        <is>
          <t>7</t>
        </is>
      </c>
      <c r="AP170" s="7" t="inlineStr">
        <is>
          <t>Experts / Advisors / Associations professionnelles</t>
        </is>
      </c>
      <c r="AQ170" s="7" t="inlineStr">
        <is>
          <t>constaté</t>
        </is>
      </c>
      <c r="AR170" s="12" t="inlineStr"/>
      <c r="AS170" s="7" t="inlineStr">
        <is>
          <t>2</t>
        </is>
      </c>
      <c r="AT170" s="7" t="inlineStr">
        <is>
          <t>Moyen</t>
        </is>
      </c>
      <c r="AU170" s="8" t="inlineStr">
        <is>
          <t>estimé</t>
        </is>
      </c>
      <c r="AV170" s="12" t="inlineStr">
        <is>
          <t>Tarif payant publie par Agenda Tech</t>
        </is>
      </c>
      <c r="AW170" s="7" t="inlineStr">
        <is>
          <t>S:4 L:10 N:4 P:7 A:2</t>
        </is>
      </c>
    </row>
    <row r="171">
      <c r="A171" s="10" t="inlineStr">
        <is>
          <t>Dell Technologies Forum Paris 2026</t>
        </is>
      </c>
      <c r="B171" s="10" t="inlineStr">
        <is>
          <t>Dell Technologies</t>
        </is>
      </c>
      <c r="C171" s="10" t="inlineStr">
        <is>
          <t>2026-11-16</t>
        </is>
      </c>
      <c r="D171" s="10" t="inlineStr"/>
      <c r="E171" s="10" t="inlineStr"/>
      <c r="F171" s="10" t="inlineStr">
        <is>
          <t>non identifié publiquement</t>
        </is>
      </c>
      <c r="G171" s="10" t="inlineStr">
        <is>
          <t>Le Carrousel du Louvre</t>
        </is>
      </c>
      <c r="H171" s="10" t="inlineStr">
        <is>
          <t>Paris (arrondissement selon le lieu)</t>
        </is>
      </c>
      <c r="I171" s="10" t="inlineStr">
        <is>
          <t>75</t>
        </is>
      </c>
      <c r="J171" s="10" t="inlineStr">
        <is>
          <t>présentiel</t>
        </is>
      </c>
      <c r="K171" s="11" t="inlineStr">
        <is>
          <t>Conférence B2B Dell Technologies 2026 à Paris. Découvrez l'IA, le cloud et la cybersécurité avec responsables IT et décideurs.</t>
        </is>
      </c>
      <c r="L171" s="11" t="inlineStr">
        <is>
          <t>non identifié publiquement</t>
        </is>
      </c>
      <c r="M171" s="10" t="inlineStr">
        <is>
          <t>Numerique, informatique, technologies</t>
        </is>
      </c>
      <c r="N171" s="10" t="inlineStr">
        <is>
          <t xml:space="preserve">Dell Technologies Forum Paris 2026 - Conférence B2B Dell Technologies 2026 à Paris. Découvrez l'IA, le cloud et la cybersécurité avec responsables </t>
        </is>
      </c>
      <c r="O171" s="10" t="inlineStr">
        <is>
          <t>non identifié publiquement</t>
        </is>
      </c>
      <c r="P171" s="10" t="inlineStr"/>
      <c r="Q171" s="11" t="inlineStr"/>
      <c r="R171" s="10" t="inlineStr">
        <is>
          <t>non identifié publiquement</t>
        </is>
      </c>
      <c r="S171" s="10" t="inlineStr">
        <is>
          <t>non</t>
        </is>
      </c>
      <c r="T171" s="11" t="inlineStr"/>
      <c r="U171" s="10" t="inlineStr">
        <is>
          <t>non identifié publiquement</t>
        </is>
      </c>
      <c r="V171" s="10" t="inlineStr">
        <is>
          <t>https://www.agenda-tech.com/events/dell-technologies-forum-paris-2026</t>
        </is>
      </c>
      <c r="W171" s="10" t="inlineStr">
        <is>
          <t>2026-09-15</t>
        </is>
      </c>
      <c r="X171" s="11" t="inlineStr">
        <is>
          <t>Identifie via l'agregateur specialise Agenda Tech (donnees structurees schema.org publiees par l'organisateur).</t>
        </is>
      </c>
      <c r="Y171" s="7" t="inlineStr">
        <is>
          <t>4</t>
        </is>
      </c>
      <c r="Z171" s="7" t="inlineStr">
        <is>
          <t>Tech / IT / Logiciels / Télécom</t>
        </is>
      </c>
      <c r="AA171" s="7" t="inlineStr">
        <is>
          <t>10</t>
        </is>
      </c>
      <c r="AB171" s="7" t="inlineStr"/>
      <c r="AC171" s="7" t="inlineStr">
        <is>
          <t>1</t>
        </is>
      </c>
      <c r="AD171" s="7" t="inlineStr"/>
      <c r="AE171" s="7" t="inlineStr">
        <is>
          <t>10</t>
        </is>
      </c>
      <c r="AF171" s="7" t="inlineStr">
        <is>
          <t>Cybersécurité</t>
        </is>
      </c>
      <c r="AG171" s="7" t="inlineStr">
        <is>
          <t>constaté</t>
        </is>
      </c>
      <c r="AH171" s="12" t="inlineStr"/>
      <c r="AI171" s="7" t="inlineStr">
        <is>
          <t>5</t>
        </is>
      </c>
      <c r="AJ171" s="7" t="inlineStr">
        <is>
          <t>401-2000</t>
        </is>
      </c>
      <c r="AK171" s="8" t="inlineStr">
        <is>
          <t>estimé</t>
        </is>
      </c>
      <c r="AL171" s="7" t="inlineStr">
        <is>
          <t>estimation : 300 a 1500 participants</t>
        </is>
      </c>
      <c r="AM171" s="11" t="inlineStr">
        <is>
          <t>Modele de format (convention client d'editeur ou d'integrateur), fourchette 300-1500, plafonnee par la capacite du lieu (Le Carrousel du Louvre ~ 5000)</t>
        </is>
      </c>
      <c r="AN171" s="7" t="inlineStr">
        <is>
          <t>moyenne</t>
        </is>
      </c>
      <c r="AO171" s="7" t="inlineStr">
        <is>
          <t>1</t>
        </is>
      </c>
      <c r="AP171" s="7" t="inlineStr">
        <is>
          <t>Décideurs PME/ETI</t>
        </is>
      </c>
      <c r="AQ171" s="7" t="inlineStr">
        <is>
          <t>constaté</t>
        </is>
      </c>
      <c r="AR171" s="12" t="inlineStr"/>
      <c r="AS171" s="7" t="inlineStr">
        <is>
          <t>1</t>
        </is>
      </c>
      <c r="AT171" s="7" t="inlineStr">
        <is>
          <t>Facile</t>
        </is>
      </c>
      <c r="AU171" s="8" t="inlineStr">
        <is>
          <t>estimé</t>
        </is>
      </c>
      <c r="AV171" s="12" t="inlineStr">
        <is>
          <t>Tarif 'Gratuit' publie par Agenda Tech</t>
        </is>
      </c>
      <c r="AW171" s="7" t="inlineStr">
        <is>
          <t>S:4 L:10 N:5 P:1 A:1</t>
        </is>
      </c>
    </row>
    <row r="172">
      <c r="A172" s="10" t="inlineStr">
        <is>
          <t>Evaluation, la nouvelle vision de l'administration fiscale</t>
        </is>
      </c>
      <c r="B172" s="10" t="inlineStr">
        <is>
          <t>CCI Paris Ile-de-France</t>
        </is>
      </c>
      <c r="C172" s="10" t="inlineStr">
        <is>
          <t>2026-11-16</t>
        </is>
      </c>
      <c r="D172" s="10" t="inlineStr"/>
      <c r="E172" s="10" t="inlineStr"/>
      <c r="F172" s="10" t="inlineStr">
        <is>
          <t>non identifié publiquement</t>
        </is>
      </c>
      <c r="G172" s="10" t="inlineStr">
        <is>
          <t>CCI Paris, 11 rue Leon Jouhaux</t>
        </is>
      </c>
      <c r="H172" s="10" t="inlineStr">
        <is>
          <t>Paris 10e</t>
        </is>
      </c>
      <c r="I172" s="10" t="inlineStr">
        <is>
          <t>75</t>
        </is>
      </c>
      <c r="J172" s="10" t="inlineStr">
        <is>
          <t>présentiel</t>
        </is>
      </c>
      <c r="K172" s="11" t="inlineStr">
        <is>
          <t>Conference du cycle transmission-reprise d'entreprise de la CCI Paris.</t>
        </is>
      </c>
      <c r="L172" s="11" t="inlineStr">
        <is>
          <t>cedants, repreneurs et conseils</t>
        </is>
      </c>
      <c r="M172" s="10" t="inlineStr">
        <is>
          <t>Transmission, cession-reprise d'entreprise, ingenierie patrimoniale</t>
        </is>
      </c>
      <c r="N172" s="10" t="inlineStr">
        <is>
          <t>non identifié publiquement</t>
        </is>
      </c>
      <c r="O172" s="10" t="inlineStr">
        <is>
          <t>non identifié publiquement</t>
        </is>
      </c>
      <c r="P172" s="10" t="inlineStr"/>
      <c r="Q172" s="11" t="inlineStr"/>
      <c r="R172" s="10" t="inlineStr">
        <is>
          <t>inscription libre</t>
        </is>
      </c>
      <c r="S172" s="10" t="inlineStr">
        <is>
          <t>non</t>
        </is>
      </c>
      <c r="T172" s="11" t="inlineStr"/>
      <c r="U172" s="10" t="inlineStr">
        <is>
          <t>non identifié publiquement</t>
        </is>
      </c>
      <c r="V172" s="10" t="inlineStr">
        <is>
          <t>https://www.entreprises.cci-paris-idf.fr/evenements/evaluation-la-nouvelle-vision-de-ladministration-fiscale</t>
        </is>
      </c>
      <c r="W172" s="10" t="inlineStr">
        <is>
          <t>2026-09-15</t>
        </is>
      </c>
      <c r="X172" s="11" t="inlineStr">
        <is>
          <t>Fait partie d'un cycle de neuf conferences programmees le meme jour (16 novembre 2026) au meme endroit par la CCI Paris : une ligne par conference, conformement a la regle de tracabilite des fiches sources.</t>
        </is>
      </c>
      <c r="Y172" s="7" t="inlineStr">
        <is>
          <t>9</t>
        </is>
      </c>
      <c r="Z172" s="7" t="inlineStr">
        <is>
          <t>Services professionnels / Conseil / Juridique / Comptabilité</t>
        </is>
      </c>
      <c r="AA172" s="7" t="inlineStr"/>
      <c r="AB172" s="7" t="inlineStr"/>
      <c r="AC172" s="7" t="inlineStr">
        <is>
          <t>4</t>
        </is>
      </c>
      <c r="AD172" s="7" t="inlineStr">
        <is>
          <t>2</t>
        </is>
      </c>
      <c r="AE172" s="7" t="inlineStr">
        <is>
          <t>0</t>
        </is>
      </c>
      <c r="AF172" s="7" t="inlineStr">
        <is>
          <t>Générique / Multi-éditeurs / Sans dominante</t>
        </is>
      </c>
      <c r="AG172" s="8" t="inlineStr">
        <is>
          <t>estimé</t>
        </is>
      </c>
      <c r="AH172" s="12" t="inlineStr">
        <is>
          <t>Aucune dimension logicielle dans le positionnement de l'organisateur : rattache au 0 (sans dominante) plutot que laisse vide, conformement a la demande de non-vide</t>
        </is>
      </c>
      <c r="AI172" s="7" t="inlineStr">
        <is>
          <t>3</t>
        </is>
      </c>
      <c r="AJ172" s="7" t="inlineStr">
        <is>
          <t>41-120</t>
        </is>
      </c>
      <c r="AK172" s="8" t="inlineStr">
        <is>
          <t>estimé</t>
        </is>
      </c>
      <c r="AL172" s="7" t="inlineStr">
        <is>
          <t>estimation : 40 a 120 participants</t>
        </is>
      </c>
      <c r="AM172" s="11" t="inlineStr">
        <is>
          <t>Modele de format (conference de cycle en chambre de commerce), fourchette 40-120, plafonnee par la capacite du lieu (CCI Paris, 11 rue Leon Jouhaux ~ 120)</t>
        </is>
      </c>
      <c r="AN172" s="7" t="inlineStr">
        <is>
          <t>moyenne</t>
        </is>
      </c>
      <c r="AO172" s="7" t="inlineStr">
        <is>
          <t>4</t>
        </is>
      </c>
      <c r="AP172" s="7" t="inlineStr">
        <is>
          <t>Partenaires / Prescripteurs / Consultants / Intégrateurs</t>
        </is>
      </c>
      <c r="AQ172" s="7" t="inlineStr">
        <is>
          <t>constaté</t>
        </is>
      </c>
      <c r="AR172" s="12" t="inlineStr"/>
      <c r="AS172" s="7" t="inlineStr">
        <is>
          <t>2</t>
        </is>
      </c>
      <c r="AT172" s="7" t="inlineStr">
        <is>
          <t>Moyen</t>
        </is>
      </c>
      <c r="AU172" s="7" t="inlineStr">
        <is>
          <t>constaté</t>
        </is>
      </c>
      <c r="AV172" s="12" t="inlineStr"/>
      <c r="AW172" s="7" t="inlineStr">
        <is>
          <t>S:9 L:0 N:3 P:4 A:2</t>
        </is>
      </c>
    </row>
    <row r="173">
      <c r="A173" s="10" t="inlineStr">
        <is>
          <t>Financium 2026 (24e edition)</t>
        </is>
      </c>
      <c r="B173" s="10" t="inlineStr">
        <is>
          <t>DFCG - Association nationale des Directeurs Financiers et de Controle de Gestion</t>
        </is>
      </c>
      <c r="C173" s="10" t="inlineStr">
        <is>
          <t>2026-11-16</t>
        </is>
      </c>
      <c r="D173" s="10" t="inlineStr"/>
      <c r="E173" s="10" t="inlineStr"/>
      <c r="F173" s="10" t="inlineStr">
        <is>
          <t>annuel</t>
        </is>
      </c>
      <c r="G173" s="10" t="inlineStr">
        <is>
          <t>Maison de la Chimie</t>
        </is>
      </c>
      <c r="H173" s="10" t="inlineStr">
        <is>
          <t>Paris 7e</t>
        </is>
      </c>
      <c r="I173" s="10" t="inlineStr">
        <is>
          <t>75</t>
        </is>
      </c>
      <c r="J173" s="10" t="inlineStr">
        <is>
          <t>présentiel</t>
        </is>
      </c>
      <c r="K173" s="11" t="inlineStr">
        <is>
          <t>Congres annuel des dirigeants financiers : perspectives geopolitiques et macroeconomiques, transformation de la fonction finance, IA et finance, modeles economiques resilients.</t>
        </is>
      </c>
      <c r="L173" s="11" t="inlineStr">
        <is>
          <t>dirigeants Finance-Gestion (directeurs financiers, controleurs de gestion)</t>
        </is>
      </c>
      <c r="M173" s="10" t="inlineStr">
        <is>
          <t>Direction financiere, controle de gestion, tous secteurs</t>
        </is>
      </c>
      <c r="N173" s="10" t="inlineStr">
        <is>
          <t>IA et finance (sequence dediee au programme 2026)</t>
        </is>
      </c>
      <c r="O173" s="10" t="inlineStr">
        <is>
          <t>non identifié publiquement</t>
        </is>
      </c>
      <c r="P173" s="10" t="inlineStr"/>
      <c r="Q173" s="11" t="inlineStr"/>
      <c r="R173" s="10" t="inlineStr">
        <is>
          <t>billet payant</t>
        </is>
      </c>
      <c r="S173" s="10" t="inlineStr">
        <is>
          <t>oui</t>
        </is>
      </c>
      <c r="T173" s="11" t="inlineStr">
        <is>
          <t>Congres d'association professionnelle, tarif preferentiel reserve aux adherents DFCG</t>
        </is>
      </c>
      <c r="U173" s="10" t="inlineStr">
        <is>
          <t>non identifié publiquement pour 2026 ; tarifs 2025 : 0 EUR adherent, 500 EUR non-adherent</t>
        </is>
      </c>
      <c r="V173" s="10" t="inlineStr">
        <is>
          <t>https://financium.fr/</t>
        </is>
      </c>
      <c r="W173" s="10" t="inlineStr">
        <is>
          <t>2026-09-15</t>
        </is>
      </c>
      <c r="X173" s="11" t="inlineStr">
        <is>
          <t>TRES FORT ALIGNEMENT ICP : le DAF de PME/ETI est un acheteur naturel de conseil IA. Horaires 8h30-21h. Programme annonce : etude PwC/DFCG Priorites 2027 des directions financieres, hybridation du monde, financement et volatilite bancaire, competences futures, IA et finance.</t>
        </is>
      </c>
      <c r="Y173" s="7" t="inlineStr">
        <is>
          <t>0</t>
        </is>
      </c>
      <c r="Z173" s="7" t="inlineStr">
        <is>
          <t>Générique / Transversal</t>
        </is>
      </c>
      <c r="AA173" s="7" t="inlineStr">
        <is>
          <t>11</t>
        </is>
      </c>
      <c r="AB173" s="7" t="inlineStr"/>
      <c r="AC173" s="7" t="inlineStr">
        <is>
          <t>1</t>
        </is>
      </c>
      <c r="AD173" s="7" t="inlineStr">
        <is>
          <t>2</t>
        </is>
      </c>
      <c r="AE173" s="7" t="inlineStr">
        <is>
          <t>11</t>
        </is>
      </c>
      <c r="AF173" s="7" t="inlineStr">
        <is>
          <t>IA / Automatisation / No-code / Low-code</t>
        </is>
      </c>
      <c r="AG173" s="7" t="inlineStr">
        <is>
          <t>constaté</t>
        </is>
      </c>
      <c r="AH173" s="12" t="inlineStr"/>
      <c r="AI173" s="7" t="inlineStr">
        <is>
          <t>5</t>
        </is>
      </c>
      <c r="AJ173" s="7" t="inlineStr">
        <is>
          <t>401-2000</t>
        </is>
      </c>
      <c r="AK173" s="8" t="inlineStr">
        <is>
          <t>estimé</t>
        </is>
      </c>
      <c r="AL173" s="7" t="inlineStr">
        <is>
          <t>estimation : 1000 a 1200 participants</t>
        </is>
      </c>
      <c r="AM173" s="11" t="inlineStr">
        <is>
          <t>Modele de format (congres de societe savante), fourchette 1000-1200, plafonnee par la capacite du lieu (Maison de la Chimie ~ 1200)</t>
        </is>
      </c>
      <c r="AN173" s="7" t="inlineStr">
        <is>
          <t>moyenne</t>
        </is>
      </c>
      <c r="AO173" s="7" t="inlineStr">
        <is>
          <t>1</t>
        </is>
      </c>
      <c r="AP173" s="7" t="inlineStr">
        <is>
          <t>Décideurs PME/ETI</t>
        </is>
      </c>
      <c r="AQ173" s="7" t="inlineStr">
        <is>
          <t>constaté</t>
        </is>
      </c>
      <c r="AR173" s="12" t="inlineStr"/>
      <c r="AS173" s="7" t="inlineStr">
        <is>
          <t>2</t>
        </is>
      </c>
      <c r="AT173" s="7" t="inlineStr">
        <is>
          <t>Moyen</t>
        </is>
      </c>
      <c r="AU173" s="7" t="inlineStr">
        <is>
          <t>constaté</t>
        </is>
      </c>
      <c r="AV173" s="12" t="inlineStr"/>
      <c r="AW173" s="7" t="inlineStr">
        <is>
          <t>S:0 L:11 N:5 P:1 A:2</t>
        </is>
      </c>
    </row>
    <row r="174">
      <c r="A174" s="10" t="inlineStr">
        <is>
          <t>Forward Data Conference 2026</t>
        </is>
      </c>
      <c r="B174" s="10" t="inlineStr">
        <is>
          <t>Hymaïa / Modern Data Network</t>
        </is>
      </c>
      <c r="C174" s="10" t="inlineStr">
        <is>
          <t>2026-11-16</t>
        </is>
      </c>
      <c r="D174" s="10" t="inlineStr"/>
      <c r="E174" s="10" t="inlineStr"/>
      <c r="F174" s="10" t="inlineStr">
        <is>
          <t>non identifié publiquement</t>
        </is>
      </c>
      <c r="G174" s="10" t="inlineStr">
        <is>
          <t>Cité Internationale Universitaire de Paris</t>
        </is>
      </c>
      <c r="H174" s="10" t="inlineStr">
        <is>
          <t>Paris (arrondissement selon le lieu)</t>
        </is>
      </c>
      <c r="I174" s="10" t="inlineStr">
        <is>
          <t>75</t>
        </is>
      </c>
      <c r="J174" s="10" t="inlineStr">
        <is>
          <t>présentiel</t>
        </is>
      </c>
      <c r="K174" s="11" t="inlineStr">
        <is>
          <t>Conférence Data &amp; IA à Paris le 16 novembre 2026. Speakers internationaux, stratégie data, ML engineering, governance. Pour DSI, CTO, data leaders.</t>
        </is>
      </c>
      <c r="L174" s="11" t="inlineStr">
        <is>
          <t>non identifié publiquement</t>
        </is>
      </c>
      <c r="M174" s="10" t="inlineStr">
        <is>
          <t>Numerique, informatique, technologies</t>
        </is>
      </c>
      <c r="N174" s="10" t="inlineStr">
        <is>
          <t>Forward Data Conference 2026 - Conférence Data &amp; IA à Paris le 16 novembre 2026. Speakers internationaux, stratégie data, ML engineering, gov</t>
        </is>
      </c>
      <c r="O174" s="10" t="inlineStr">
        <is>
          <t>non identifié publiquement</t>
        </is>
      </c>
      <c r="P174" s="10" t="inlineStr"/>
      <c r="Q174" s="11" t="inlineStr"/>
      <c r="R174" s="10" t="inlineStr">
        <is>
          <t>non identifié publiquement</t>
        </is>
      </c>
      <c r="S174" s="10" t="inlineStr">
        <is>
          <t>non</t>
        </is>
      </c>
      <c r="T174" s="11" t="inlineStr"/>
      <c r="U174" s="10" t="inlineStr">
        <is>
          <t>non identifié publiquement</t>
        </is>
      </c>
      <c r="V174" s="10" t="inlineStr">
        <is>
          <t>https://www.agenda-tech.com/events/forward-data-conference-2026</t>
        </is>
      </c>
      <c r="W174" s="10" t="inlineStr">
        <is>
          <t>2026-09-15</t>
        </is>
      </c>
      <c r="X174" s="11" t="inlineStr">
        <is>
          <t>Identifie via l'agregateur specialise Agenda Tech (donnees structurees schema.org publiees par l'organisateur).</t>
        </is>
      </c>
      <c r="Y174" s="7" t="inlineStr">
        <is>
          <t>16|4</t>
        </is>
      </c>
      <c r="Z174" s="7" t="inlineStr">
        <is>
          <t>IA / Intelligence artificielle + Tech / IT / Logiciels / Télécom</t>
        </is>
      </c>
      <c r="AA174" s="7" t="inlineStr">
        <is>
          <t>9</t>
        </is>
      </c>
      <c r="AB174" s="7" t="inlineStr"/>
      <c r="AC174" s="7" t="inlineStr">
        <is>
          <t>1</t>
        </is>
      </c>
      <c r="AD174" s="7" t="inlineStr"/>
      <c r="AE174" s="7" t="inlineStr">
        <is>
          <t>9</t>
        </is>
      </c>
      <c r="AF174" s="7" t="inlineStr">
        <is>
          <t>Data / BI / Analytics</t>
        </is>
      </c>
      <c r="AG174" s="7" t="inlineStr">
        <is>
          <t>constaté</t>
        </is>
      </c>
      <c r="AH174" s="12" t="inlineStr"/>
      <c r="AI174" s="7" t="inlineStr">
        <is>
          <t>4</t>
        </is>
      </c>
      <c r="AJ174" s="7" t="inlineStr">
        <is>
          <t>121-400</t>
        </is>
      </c>
      <c r="AK174" s="8" t="inlineStr">
        <is>
          <t>estimé</t>
        </is>
      </c>
      <c r="AL174" s="7" t="inlineStr">
        <is>
          <t>estimation : 200 a 800 participants</t>
        </is>
      </c>
      <c r="AM174" s="11" t="inlineStr">
        <is>
          <t>Modele de format (conference technique ou sectorielle), fourchette 200-800, plafonnee par la capacite du lieu (Cité Internationale Universitaire de Par ~ 800)</t>
        </is>
      </c>
      <c r="AN174" s="7" t="inlineStr">
        <is>
          <t>moyenne</t>
        </is>
      </c>
      <c r="AO174" s="7" t="inlineStr">
        <is>
          <t>1</t>
        </is>
      </c>
      <c r="AP174" s="7" t="inlineStr">
        <is>
          <t>Décideurs PME/ETI</t>
        </is>
      </c>
      <c r="AQ174" s="7" t="inlineStr">
        <is>
          <t>constaté</t>
        </is>
      </c>
      <c r="AR174" s="12" t="inlineStr"/>
      <c r="AS174" s="7" t="inlineStr">
        <is>
          <t>2</t>
        </is>
      </c>
      <c r="AT174" s="7" t="inlineStr">
        <is>
          <t>Moyen</t>
        </is>
      </c>
      <c r="AU174" s="8" t="inlineStr">
        <is>
          <t>estimé</t>
        </is>
      </c>
      <c r="AV174" s="12" t="inlineStr">
        <is>
          <t>Tarif payant publie par Agenda Tech</t>
        </is>
      </c>
      <c r="AW174" s="7" t="inlineStr">
        <is>
          <t>S:16|4 L:9 N:4 P:1 A:2</t>
        </is>
      </c>
    </row>
    <row r="175">
      <c r="A175" s="10" t="inlineStr">
        <is>
          <t>La psychologie du cédant</t>
        </is>
      </c>
      <c r="B175" s="10" t="inlineStr">
        <is>
          <t>CCI Paris Ile-de-France</t>
        </is>
      </c>
      <c r="C175" s="10" t="inlineStr">
        <is>
          <t>2026-11-16</t>
        </is>
      </c>
      <c r="D175" s="10" t="inlineStr"/>
      <c r="E175" s="10" t="inlineStr"/>
      <c r="F175" s="10" t="inlineStr">
        <is>
          <t>non identifié publiquement</t>
        </is>
      </c>
      <c r="G175" s="10" t="inlineStr">
        <is>
          <t>CCI Paris, 11 rue Leon Jouhaux</t>
        </is>
      </c>
      <c r="H175" s="10" t="inlineStr">
        <is>
          <t>Paris 10e</t>
        </is>
      </c>
      <c r="I175" s="10" t="inlineStr">
        <is>
          <t>75</t>
        </is>
      </c>
      <c r="J175" s="10" t="inlineStr">
        <is>
          <t>présentiel</t>
        </is>
      </c>
      <c r="K175" s="11" t="inlineStr">
        <is>
          <t>Conference du cycle transmission-reprise d'entreprise de la CCI Paris.</t>
        </is>
      </c>
      <c r="L175" s="11" t="inlineStr">
        <is>
          <t>cedants, repreneurs et conseils</t>
        </is>
      </c>
      <c r="M175" s="10" t="inlineStr">
        <is>
          <t>Transmission, cession-reprise d'entreprise, ingenierie patrimoniale</t>
        </is>
      </c>
      <c r="N175" s="10" t="inlineStr">
        <is>
          <t>non identifié publiquement</t>
        </is>
      </c>
      <c r="O175" s="10" t="inlineStr">
        <is>
          <t>non identifié publiquement</t>
        </is>
      </c>
      <c r="P175" s="10" t="inlineStr"/>
      <c r="Q175" s="11" t="inlineStr"/>
      <c r="R175" s="10" t="inlineStr">
        <is>
          <t>inscription libre</t>
        </is>
      </c>
      <c r="S175" s="10" t="inlineStr">
        <is>
          <t>non</t>
        </is>
      </c>
      <c r="T175" s="11" t="inlineStr"/>
      <c r="U175" s="10" t="inlineStr">
        <is>
          <t>non identifié publiquement</t>
        </is>
      </c>
      <c r="V175" s="10" t="inlineStr">
        <is>
          <t>https://www.entreprises.cci-paris-idf.fr/evenements/transfair-la-psychologie-du-cedant-par-laplace</t>
        </is>
      </c>
      <c r="W175" s="10" t="inlineStr">
        <is>
          <t>2026-09-15</t>
        </is>
      </c>
      <c r="X175" s="11" t="inlineStr">
        <is>
          <t>Fait partie d'un cycle de neuf conferences programmees le meme jour (16 novembre 2026) au meme endroit par la CCI Paris : une ligne par conference, conformement a la regle de tracabilite des fiches sources.</t>
        </is>
      </c>
      <c r="Y175" s="7" t="inlineStr">
        <is>
          <t>9</t>
        </is>
      </c>
      <c r="Z175" s="7" t="inlineStr">
        <is>
          <t>Services professionnels / Conseil / Juridique / Comptabilité</t>
        </is>
      </c>
      <c r="AA175" s="7" t="inlineStr"/>
      <c r="AB175" s="7" t="inlineStr"/>
      <c r="AC175" s="7" t="inlineStr">
        <is>
          <t>4</t>
        </is>
      </c>
      <c r="AD175" s="7" t="inlineStr">
        <is>
          <t>2</t>
        </is>
      </c>
      <c r="AE175" s="7" t="inlineStr">
        <is>
          <t>0</t>
        </is>
      </c>
      <c r="AF175" s="7" t="inlineStr">
        <is>
          <t>Générique / Multi-éditeurs / Sans dominante</t>
        </is>
      </c>
      <c r="AG175" s="8" t="inlineStr">
        <is>
          <t>estimé</t>
        </is>
      </c>
      <c r="AH175" s="12" t="inlineStr">
        <is>
          <t>Aucune dimension logicielle dans le positionnement de l'organisateur : rattache au 0 (sans dominante) plutot que laisse vide, conformement a la demande de non-vide</t>
        </is>
      </c>
      <c r="AI175" s="7" t="inlineStr">
        <is>
          <t>3</t>
        </is>
      </c>
      <c r="AJ175" s="7" t="inlineStr">
        <is>
          <t>41-120</t>
        </is>
      </c>
      <c r="AK175" s="8" t="inlineStr">
        <is>
          <t>estimé</t>
        </is>
      </c>
      <c r="AL175" s="7" t="inlineStr">
        <is>
          <t>estimation : 40 a 120 participants</t>
        </is>
      </c>
      <c r="AM175" s="11" t="inlineStr">
        <is>
          <t>Modele de format (conference de cycle en chambre de commerce), fourchette 40-120, plafonnee par la capacite du lieu (CCI Paris, 11 rue Leon Jouhaux ~ 120)</t>
        </is>
      </c>
      <c r="AN175" s="7" t="inlineStr">
        <is>
          <t>moyenne</t>
        </is>
      </c>
      <c r="AO175" s="7" t="inlineStr">
        <is>
          <t>4</t>
        </is>
      </c>
      <c r="AP175" s="7" t="inlineStr">
        <is>
          <t>Partenaires / Prescripteurs / Consultants / Intégrateurs</t>
        </is>
      </c>
      <c r="AQ175" s="7" t="inlineStr">
        <is>
          <t>constaté</t>
        </is>
      </c>
      <c r="AR175" s="12" t="inlineStr"/>
      <c r="AS175" s="7" t="inlineStr">
        <is>
          <t>2</t>
        </is>
      </c>
      <c r="AT175" s="7" t="inlineStr">
        <is>
          <t>Moyen</t>
        </is>
      </c>
      <c r="AU175" s="7" t="inlineStr">
        <is>
          <t>constaté</t>
        </is>
      </c>
      <c r="AV175" s="12" t="inlineStr"/>
      <c r="AW175" s="7" t="inlineStr">
        <is>
          <t>S:9 L:0 N:3 P:4 A:2</t>
        </is>
      </c>
    </row>
    <row r="176">
      <c r="A176" s="10" t="inlineStr">
        <is>
          <t>Prendre en compte les enjeux ESG dans les opérations de transmission</t>
        </is>
      </c>
      <c r="B176" s="10" t="inlineStr">
        <is>
          <t>CCI Paris Ile-de-France</t>
        </is>
      </c>
      <c r="C176" s="10" t="inlineStr">
        <is>
          <t>2026-11-16</t>
        </is>
      </c>
      <c r="D176" s="10" t="inlineStr"/>
      <c r="E176" s="10" t="inlineStr"/>
      <c r="F176" s="10" t="inlineStr">
        <is>
          <t>non identifié publiquement</t>
        </is>
      </c>
      <c r="G176" s="10" t="inlineStr">
        <is>
          <t>CCI Paris, 11 rue Leon Jouhaux</t>
        </is>
      </c>
      <c r="H176" s="10" t="inlineStr">
        <is>
          <t>Paris 10e</t>
        </is>
      </c>
      <c r="I176" s="10" t="inlineStr">
        <is>
          <t>75</t>
        </is>
      </c>
      <c r="J176" s="10" t="inlineStr">
        <is>
          <t>présentiel</t>
        </is>
      </c>
      <c r="K176" s="11" t="inlineStr">
        <is>
          <t>Conference du cycle transmission-reprise d'entreprise de la CCI Paris.</t>
        </is>
      </c>
      <c r="L176" s="11" t="inlineStr">
        <is>
          <t>cedants, repreneurs et conseils</t>
        </is>
      </c>
      <c r="M176" s="10" t="inlineStr">
        <is>
          <t>Transmission, cession-reprise d'entreprise, ingenierie patrimoniale</t>
        </is>
      </c>
      <c r="N176" s="10" t="inlineStr">
        <is>
          <t>non identifié publiquement</t>
        </is>
      </c>
      <c r="O176" s="10" t="inlineStr">
        <is>
          <t>non identifié publiquement</t>
        </is>
      </c>
      <c r="P176" s="10" t="inlineStr"/>
      <c r="Q176" s="11" t="inlineStr"/>
      <c r="R176" s="10" t="inlineStr">
        <is>
          <t>inscription libre</t>
        </is>
      </c>
      <c r="S176" s="10" t="inlineStr">
        <is>
          <t>non</t>
        </is>
      </c>
      <c r="T176" s="11" t="inlineStr"/>
      <c r="U176" s="10" t="inlineStr">
        <is>
          <t>non identifié publiquement</t>
        </is>
      </c>
      <c r="V176" s="10" t="inlineStr">
        <is>
          <t>https://www.entreprises.cci-paris-idf.fr/evenements/prendre-en-compte-les-enjeux-esg-dans-les-operations-de-transmission</t>
        </is>
      </c>
      <c r="W176" s="10" t="inlineStr">
        <is>
          <t>2026-09-15</t>
        </is>
      </c>
      <c r="X176" s="11" t="inlineStr">
        <is>
          <t>Fait partie d'un cycle de neuf conferences programmees le meme jour (16 novembre 2026) au meme endroit par la CCI Paris : une ligne par conference, conformement a la regle de tracabilite des fiches sources.</t>
        </is>
      </c>
      <c r="Y176" s="7" t="inlineStr">
        <is>
          <t>9</t>
        </is>
      </c>
      <c r="Z176" s="7" t="inlineStr">
        <is>
          <t>Services professionnels / Conseil / Juridique / Comptabilité</t>
        </is>
      </c>
      <c r="AA176" s="7" t="inlineStr"/>
      <c r="AB176" s="7" t="inlineStr"/>
      <c r="AC176" s="7" t="inlineStr">
        <is>
          <t>4</t>
        </is>
      </c>
      <c r="AD176" s="7" t="inlineStr">
        <is>
          <t>2</t>
        </is>
      </c>
      <c r="AE176" s="7" t="inlineStr">
        <is>
          <t>0</t>
        </is>
      </c>
      <c r="AF176" s="7" t="inlineStr">
        <is>
          <t>Générique / Multi-éditeurs / Sans dominante</t>
        </is>
      </c>
      <c r="AG176" s="8" t="inlineStr">
        <is>
          <t>estimé</t>
        </is>
      </c>
      <c r="AH176" s="12" t="inlineStr">
        <is>
          <t>Aucune dimension logicielle dans le positionnement de l'organisateur : rattache au 0 (sans dominante) plutot que laisse vide, conformement a la demande de non-vide</t>
        </is>
      </c>
      <c r="AI176" s="7" t="inlineStr">
        <is>
          <t>3</t>
        </is>
      </c>
      <c r="AJ176" s="7" t="inlineStr">
        <is>
          <t>41-120</t>
        </is>
      </c>
      <c r="AK176" s="8" t="inlineStr">
        <is>
          <t>estimé</t>
        </is>
      </c>
      <c r="AL176" s="7" t="inlineStr">
        <is>
          <t>estimation : 40 a 120 participants</t>
        </is>
      </c>
      <c r="AM176" s="11" t="inlineStr">
        <is>
          <t>Modele de format (conference de cycle en chambre de commerce), fourchette 40-120, plafonnee par la capacite du lieu (CCI Paris, 11 rue Leon Jouhaux ~ 120)</t>
        </is>
      </c>
      <c r="AN176" s="7" t="inlineStr">
        <is>
          <t>moyenne</t>
        </is>
      </c>
      <c r="AO176" s="7" t="inlineStr">
        <is>
          <t>4</t>
        </is>
      </c>
      <c r="AP176" s="7" t="inlineStr">
        <is>
          <t>Partenaires / Prescripteurs / Consultants / Intégrateurs</t>
        </is>
      </c>
      <c r="AQ176" s="7" t="inlineStr">
        <is>
          <t>constaté</t>
        </is>
      </c>
      <c r="AR176" s="12" t="inlineStr"/>
      <c r="AS176" s="7" t="inlineStr">
        <is>
          <t>2</t>
        </is>
      </c>
      <c r="AT176" s="7" t="inlineStr">
        <is>
          <t>Moyen</t>
        </is>
      </c>
      <c r="AU176" s="7" t="inlineStr">
        <is>
          <t>constaté</t>
        </is>
      </c>
      <c r="AV176" s="12" t="inlineStr"/>
      <c r="AW176" s="7" t="inlineStr">
        <is>
          <t>S:9 L:0 N:3 P:4 A:2</t>
        </is>
      </c>
    </row>
    <row r="177">
      <c r="A177" s="10" t="inlineStr">
        <is>
          <t>Préparer et financer sa reprise d’entreprise avec le réseau Bpifrance</t>
        </is>
      </c>
      <c r="B177" s="10" t="inlineStr">
        <is>
          <t>CCI Paris Ile-de-France</t>
        </is>
      </c>
      <c r="C177" s="10" t="inlineStr">
        <is>
          <t>2026-11-16</t>
        </is>
      </c>
      <c r="D177" s="10" t="inlineStr"/>
      <c r="E177" s="10" t="inlineStr"/>
      <c r="F177" s="10" t="inlineStr">
        <is>
          <t>non identifié publiquement</t>
        </is>
      </c>
      <c r="G177" s="10" t="inlineStr">
        <is>
          <t>CCI Paris, 11 rue Leon Jouhaux</t>
        </is>
      </c>
      <c r="H177" s="10" t="inlineStr">
        <is>
          <t>Paris 10e</t>
        </is>
      </c>
      <c r="I177" s="10" t="inlineStr">
        <is>
          <t>75</t>
        </is>
      </c>
      <c r="J177" s="10" t="inlineStr">
        <is>
          <t>présentiel</t>
        </is>
      </c>
      <c r="K177" s="11" t="inlineStr">
        <is>
          <t>Conference du cycle transmission-reprise d'entreprise de la CCI Paris.</t>
        </is>
      </c>
      <c r="L177" s="11" t="inlineStr">
        <is>
          <t>cedants, repreneurs et conseils</t>
        </is>
      </c>
      <c r="M177" s="10" t="inlineStr">
        <is>
          <t>Transmission, cession-reprise d'entreprise, ingenierie patrimoniale</t>
        </is>
      </c>
      <c r="N177" s="10" t="inlineStr">
        <is>
          <t>non identifié publiquement</t>
        </is>
      </c>
      <c r="O177" s="10" t="inlineStr">
        <is>
          <t>non identifié publiquement</t>
        </is>
      </c>
      <c r="P177" s="10" t="inlineStr"/>
      <c r="Q177" s="11" t="inlineStr"/>
      <c r="R177" s="10" t="inlineStr">
        <is>
          <t>inscription libre</t>
        </is>
      </c>
      <c r="S177" s="10" t="inlineStr">
        <is>
          <t>non</t>
        </is>
      </c>
      <c r="T177" s="11" t="inlineStr"/>
      <c r="U177" s="10" t="inlineStr">
        <is>
          <t>non identifié publiquement</t>
        </is>
      </c>
      <c r="V177" s="10" t="inlineStr">
        <is>
          <t>https://www.entreprises.cci-paris-idf.fr/evenements/preparer-et-financer-sa-reprise-dentreprise-avec-le-reseau-bpifrance</t>
        </is>
      </c>
      <c r="W177" s="10" t="inlineStr">
        <is>
          <t>2026-09-15</t>
        </is>
      </c>
      <c r="X177" s="11" t="inlineStr">
        <is>
          <t>Fait partie d'un cycle de neuf conferences programmees le meme jour (16 novembre 2026) au meme endroit par la CCI Paris : une ligne par conference, conformement a la regle de tracabilite des fiches sources.</t>
        </is>
      </c>
      <c r="Y177" s="7" t="inlineStr">
        <is>
          <t>8|9</t>
        </is>
      </c>
      <c r="Z177" s="7" t="inlineStr">
        <is>
          <t>Finance / Banque / Assurance + Services professionnels / Conseil / Juridique / Comptabilité</t>
        </is>
      </c>
      <c r="AA177" s="7" t="inlineStr"/>
      <c r="AB177" s="7" t="inlineStr"/>
      <c r="AC177" s="7" t="inlineStr">
        <is>
          <t>4</t>
        </is>
      </c>
      <c r="AD177" s="7" t="inlineStr">
        <is>
          <t>2</t>
        </is>
      </c>
      <c r="AE177" s="7" t="inlineStr">
        <is>
          <t>0</t>
        </is>
      </c>
      <c r="AF177" s="7" t="inlineStr">
        <is>
          <t>Générique / Multi-éditeurs / Sans dominante</t>
        </is>
      </c>
      <c r="AG177" s="8" t="inlineStr">
        <is>
          <t>estimé</t>
        </is>
      </c>
      <c r="AH177" s="12" t="inlineStr">
        <is>
          <t>Aucune dimension logicielle dans le positionnement de l'organisateur : rattache au 0 (sans dominante) plutot que laisse vide, conformement a la demande de non-vide</t>
        </is>
      </c>
      <c r="AI177" s="7" t="inlineStr">
        <is>
          <t>3</t>
        </is>
      </c>
      <c r="AJ177" s="7" t="inlineStr">
        <is>
          <t>41-120</t>
        </is>
      </c>
      <c r="AK177" s="8" t="inlineStr">
        <is>
          <t>estimé</t>
        </is>
      </c>
      <c r="AL177" s="7" t="inlineStr">
        <is>
          <t>estimation : 40 a 120 participants</t>
        </is>
      </c>
      <c r="AM177" s="11" t="inlineStr">
        <is>
          <t>Modele de format (conference de cycle en chambre de commerce), fourchette 40-120, plafonnee par la capacite du lieu (CCI Paris, 11 rue Leon Jouhaux ~ 120)</t>
        </is>
      </c>
      <c r="AN177" s="7" t="inlineStr">
        <is>
          <t>moyenne</t>
        </is>
      </c>
      <c r="AO177" s="7" t="inlineStr">
        <is>
          <t>4</t>
        </is>
      </c>
      <c r="AP177" s="7" t="inlineStr">
        <is>
          <t>Partenaires / Prescripteurs / Consultants / Intégrateurs</t>
        </is>
      </c>
      <c r="AQ177" s="7" t="inlineStr">
        <is>
          <t>constaté</t>
        </is>
      </c>
      <c r="AR177" s="12" t="inlineStr"/>
      <c r="AS177" s="7" t="inlineStr">
        <is>
          <t>2</t>
        </is>
      </c>
      <c r="AT177" s="7" t="inlineStr">
        <is>
          <t>Moyen</t>
        </is>
      </c>
      <c r="AU177" s="7" t="inlineStr">
        <is>
          <t>constaté</t>
        </is>
      </c>
      <c r="AV177" s="12" t="inlineStr"/>
      <c r="AW177" s="7" t="inlineStr">
        <is>
          <t>S:8|9 L:0 N:3 P:4 A:2</t>
        </is>
      </c>
    </row>
    <row r="178">
      <c r="A178" s="10" t="inlineStr">
        <is>
          <t>Préparer la vente de son entreprise</t>
        </is>
      </c>
      <c r="B178" s="10" t="inlineStr">
        <is>
          <t>CCI Paris Ile-de-France</t>
        </is>
      </c>
      <c r="C178" s="10" t="inlineStr">
        <is>
          <t>2026-11-16</t>
        </is>
      </c>
      <c r="D178" s="10" t="inlineStr"/>
      <c r="E178" s="10" t="inlineStr"/>
      <c r="F178" s="10" t="inlineStr">
        <is>
          <t>non identifié publiquement</t>
        </is>
      </c>
      <c r="G178" s="10" t="inlineStr">
        <is>
          <t>CCI Paris, 11 rue Leon Jouhaux</t>
        </is>
      </c>
      <c r="H178" s="10" t="inlineStr">
        <is>
          <t>Paris 10e</t>
        </is>
      </c>
      <c r="I178" s="10" t="inlineStr">
        <is>
          <t>75</t>
        </is>
      </c>
      <c r="J178" s="10" t="inlineStr">
        <is>
          <t>présentiel</t>
        </is>
      </c>
      <c r="K178" s="11" t="inlineStr">
        <is>
          <t>Conference du cycle transmission-reprise d'entreprise de la CCI Paris.</t>
        </is>
      </c>
      <c r="L178" s="11" t="inlineStr">
        <is>
          <t>cedants, repreneurs et conseils</t>
        </is>
      </c>
      <c r="M178" s="10" t="inlineStr">
        <is>
          <t>Transmission, cession-reprise d'entreprise, ingenierie patrimoniale</t>
        </is>
      </c>
      <c r="N178" s="10" t="inlineStr">
        <is>
          <t>non identifié publiquement</t>
        </is>
      </c>
      <c r="O178" s="10" t="inlineStr">
        <is>
          <t>non identifié publiquement</t>
        </is>
      </c>
      <c r="P178" s="10" t="inlineStr"/>
      <c r="Q178" s="11" t="inlineStr"/>
      <c r="R178" s="10" t="inlineStr">
        <is>
          <t>inscription libre</t>
        </is>
      </c>
      <c r="S178" s="10" t="inlineStr">
        <is>
          <t>non</t>
        </is>
      </c>
      <c r="T178" s="11" t="inlineStr"/>
      <c r="U178" s="10" t="inlineStr">
        <is>
          <t>non identifié publiquement</t>
        </is>
      </c>
      <c r="V178" s="10" t="inlineStr">
        <is>
          <t>https://www.entreprises.cci-paris-idf.fr/evenements/preparer-la-vente-de-son-entreprise</t>
        </is>
      </c>
      <c r="W178" s="10" t="inlineStr">
        <is>
          <t>2026-09-15</t>
        </is>
      </c>
      <c r="X178" s="11" t="inlineStr">
        <is>
          <t>Fait partie d'un cycle de neuf conferences programmees le meme jour (16 novembre 2026) au meme endroit par la CCI Paris : une ligne par conference, conformement a la regle de tracabilite des fiches sources.</t>
        </is>
      </c>
      <c r="Y178" s="7" t="inlineStr">
        <is>
          <t>5|9</t>
        </is>
      </c>
      <c r="Z178" s="7" t="inlineStr">
        <is>
          <t>Commerce / Distribution / E-commerce + Services professionnels / Conseil / Juridique / Comptabilité</t>
        </is>
      </c>
      <c r="AA178" s="7" t="inlineStr"/>
      <c r="AB178" s="7" t="inlineStr"/>
      <c r="AC178" s="7" t="inlineStr">
        <is>
          <t>4</t>
        </is>
      </c>
      <c r="AD178" s="7" t="inlineStr">
        <is>
          <t>2</t>
        </is>
      </c>
      <c r="AE178" s="7" t="inlineStr">
        <is>
          <t>0</t>
        </is>
      </c>
      <c r="AF178" s="7" t="inlineStr">
        <is>
          <t>Générique / Multi-éditeurs / Sans dominante</t>
        </is>
      </c>
      <c r="AG178" s="8" t="inlineStr">
        <is>
          <t>estimé</t>
        </is>
      </c>
      <c r="AH178" s="12" t="inlineStr">
        <is>
          <t>Aucune dimension logicielle dans le positionnement de l'organisateur : rattache au 0 (sans dominante) plutot que laisse vide, conformement a la demande de non-vide</t>
        </is>
      </c>
      <c r="AI178" s="7" t="inlineStr">
        <is>
          <t>3</t>
        </is>
      </c>
      <c r="AJ178" s="7" t="inlineStr">
        <is>
          <t>41-120</t>
        </is>
      </c>
      <c r="AK178" s="8" t="inlineStr">
        <is>
          <t>estimé</t>
        </is>
      </c>
      <c r="AL178" s="7" t="inlineStr">
        <is>
          <t>estimation : 40 a 120 participants</t>
        </is>
      </c>
      <c r="AM178" s="11" t="inlineStr">
        <is>
          <t>Modele de format (conference de cycle en chambre de commerce), fourchette 40-120, plafonnee par la capacite du lieu (CCI Paris, 11 rue Leon Jouhaux ~ 120)</t>
        </is>
      </c>
      <c r="AN178" s="7" t="inlineStr">
        <is>
          <t>moyenne</t>
        </is>
      </c>
      <c r="AO178" s="7" t="inlineStr">
        <is>
          <t>4</t>
        </is>
      </c>
      <c r="AP178" s="7" t="inlineStr">
        <is>
          <t>Partenaires / Prescripteurs / Consultants / Intégrateurs</t>
        </is>
      </c>
      <c r="AQ178" s="7" t="inlineStr">
        <is>
          <t>constaté</t>
        </is>
      </c>
      <c r="AR178" s="12" t="inlineStr"/>
      <c r="AS178" s="7" t="inlineStr">
        <is>
          <t>2</t>
        </is>
      </c>
      <c r="AT178" s="7" t="inlineStr">
        <is>
          <t>Moyen</t>
        </is>
      </c>
      <c r="AU178" s="7" t="inlineStr">
        <is>
          <t>constaté</t>
        </is>
      </c>
      <c r="AV178" s="12" t="inlineStr"/>
      <c r="AW178" s="7" t="inlineStr">
        <is>
          <t>S:5|9 L:0 N:3 P:4 A:2</t>
        </is>
      </c>
    </row>
    <row r="179">
      <c r="A179" s="10" t="inlineStr">
        <is>
          <t>Réussir sa cession d'entreprise : les incontournables de l'ingénierie patrimoniale</t>
        </is>
      </c>
      <c r="B179" s="10" t="inlineStr">
        <is>
          <t>CCI Paris Ile-de-France</t>
        </is>
      </c>
      <c r="C179" s="10" t="inlineStr">
        <is>
          <t>2026-11-16</t>
        </is>
      </c>
      <c r="D179" s="10" t="inlineStr"/>
      <c r="E179" s="10" t="inlineStr"/>
      <c r="F179" s="10" t="inlineStr">
        <is>
          <t>non identifié publiquement</t>
        </is>
      </c>
      <c r="G179" s="10" t="inlineStr">
        <is>
          <t>CCI Paris, 11 rue Leon Jouhaux</t>
        </is>
      </c>
      <c r="H179" s="10" t="inlineStr">
        <is>
          <t>Paris 10e</t>
        </is>
      </c>
      <c r="I179" s="10" t="inlineStr">
        <is>
          <t>75</t>
        </is>
      </c>
      <c r="J179" s="10" t="inlineStr">
        <is>
          <t>présentiel</t>
        </is>
      </c>
      <c r="K179" s="11" t="inlineStr">
        <is>
          <t>Conference du cycle transmission-reprise d'entreprise de la CCI Paris.</t>
        </is>
      </c>
      <c r="L179" s="11" t="inlineStr">
        <is>
          <t>cedants, repreneurs et conseils</t>
        </is>
      </c>
      <c r="M179" s="10" t="inlineStr">
        <is>
          <t>Transmission, cession-reprise d'entreprise, ingenierie patrimoniale</t>
        </is>
      </c>
      <c r="N179" s="10" t="inlineStr">
        <is>
          <t>non identifié publiquement</t>
        </is>
      </c>
      <c r="O179" s="10" t="inlineStr">
        <is>
          <t>non identifié publiquement</t>
        </is>
      </c>
      <c r="P179" s="10" t="inlineStr"/>
      <c r="Q179" s="11" t="inlineStr"/>
      <c r="R179" s="10" t="inlineStr">
        <is>
          <t>inscription libre</t>
        </is>
      </c>
      <c r="S179" s="10" t="inlineStr">
        <is>
          <t>non</t>
        </is>
      </c>
      <c r="T179" s="11" t="inlineStr"/>
      <c r="U179" s="10" t="inlineStr">
        <is>
          <t>non identifié publiquement</t>
        </is>
      </c>
      <c r="V179" s="10" t="inlineStr">
        <is>
          <t>https://www.entreprises.cci-paris-idf.fr/evenements/reussir-sa-cession-dentreprise-les-incontournables-de-lingenierie-patrimoniale</t>
        </is>
      </c>
      <c r="W179" s="10" t="inlineStr">
        <is>
          <t>2026-09-15</t>
        </is>
      </c>
      <c r="X179" s="11" t="inlineStr">
        <is>
          <t>Fait partie d'un cycle de neuf conferences programmees le meme jour (16 novembre 2026) au meme endroit par la CCI Paris : une ligne par conference, conformement a la regle de tracabilite des fiches sources.</t>
        </is>
      </c>
      <c r="Y179" s="7" t="inlineStr">
        <is>
          <t>9</t>
        </is>
      </c>
      <c r="Z179" s="7" t="inlineStr">
        <is>
          <t>Services professionnels / Conseil / Juridique / Comptabilité</t>
        </is>
      </c>
      <c r="AA179" s="7" t="inlineStr"/>
      <c r="AB179" s="7" t="inlineStr"/>
      <c r="AC179" s="7" t="inlineStr">
        <is>
          <t>4</t>
        </is>
      </c>
      <c r="AD179" s="7" t="inlineStr">
        <is>
          <t>2</t>
        </is>
      </c>
      <c r="AE179" s="7" t="inlineStr">
        <is>
          <t>0</t>
        </is>
      </c>
      <c r="AF179" s="7" t="inlineStr">
        <is>
          <t>Générique / Multi-éditeurs / Sans dominante</t>
        </is>
      </c>
      <c r="AG179" s="8" t="inlineStr">
        <is>
          <t>estimé</t>
        </is>
      </c>
      <c r="AH179" s="12" t="inlineStr">
        <is>
          <t>Aucune dimension logicielle dans le positionnement de l'organisateur : rattache au 0 (sans dominante) plutot que laisse vide, conformement a la demande de non-vide</t>
        </is>
      </c>
      <c r="AI179" s="7" t="inlineStr">
        <is>
          <t>3</t>
        </is>
      </c>
      <c r="AJ179" s="7" t="inlineStr">
        <is>
          <t>41-120</t>
        </is>
      </c>
      <c r="AK179" s="8" t="inlineStr">
        <is>
          <t>estimé</t>
        </is>
      </c>
      <c r="AL179" s="7" t="inlineStr">
        <is>
          <t>estimation : 40 a 120 participants</t>
        </is>
      </c>
      <c r="AM179" s="11" t="inlineStr">
        <is>
          <t>Modele de format (conference de cycle en chambre de commerce), fourchette 40-120, plafonnee par la capacite du lieu (CCI Paris, 11 rue Leon Jouhaux ~ 120)</t>
        </is>
      </c>
      <c r="AN179" s="7" t="inlineStr">
        <is>
          <t>moyenne</t>
        </is>
      </c>
      <c r="AO179" s="7" t="inlineStr">
        <is>
          <t>4</t>
        </is>
      </c>
      <c r="AP179" s="7" t="inlineStr">
        <is>
          <t>Partenaires / Prescripteurs / Consultants / Intégrateurs</t>
        </is>
      </c>
      <c r="AQ179" s="7" t="inlineStr">
        <is>
          <t>constaté</t>
        </is>
      </c>
      <c r="AR179" s="12" t="inlineStr"/>
      <c r="AS179" s="7" t="inlineStr">
        <is>
          <t>2</t>
        </is>
      </c>
      <c r="AT179" s="7" t="inlineStr">
        <is>
          <t>Moyen</t>
        </is>
      </c>
      <c r="AU179" s="7" t="inlineStr">
        <is>
          <t>constaté</t>
        </is>
      </c>
      <c r="AV179" s="12" t="inlineStr"/>
      <c r="AW179" s="7" t="inlineStr">
        <is>
          <t>S:9 L:0 N:3 P:4 A:2</t>
        </is>
      </c>
    </row>
    <row r="180">
      <c r="A180" s="10" t="inlineStr">
        <is>
          <t>Sourcing : comment trouver l'entreprise ou l’acheteur idéal(e) sur un marché masqué ?</t>
        </is>
      </c>
      <c r="B180" s="10" t="inlineStr">
        <is>
          <t>CCI Paris Ile-de-France</t>
        </is>
      </c>
      <c r="C180" s="10" t="inlineStr">
        <is>
          <t>2026-11-16</t>
        </is>
      </c>
      <c r="D180" s="10" t="inlineStr"/>
      <c r="E180" s="10" t="inlineStr"/>
      <c r="F180" s="10" t="inlineStr">
        <is>
          <t>non identifié publiquement</t>
        </is>
      </c>
      <c r="G180" s="10" t="inlineStr">
        <is>
          <t>CCI Paris, 11 rue Leon Jouhaux</t>
        </is>
      </c>
      <c r="H180" s="10" t="inlineStr">
        <is>
          <t>Paris 10e</t>
        </is>
      </c>
      <c r="I180" s="10" t="inlineStr">
        <is>
          <t>75</t>
        </is>
      </c>
      <c r="J180" s="10" t="inlineStr">
        <is>
          <t>présentiel</t>
        </is>
      </c>
      <c r="K180" s="11" t="inlineStr">
        <is>
          <t>Conference du cycle transmission-reprise d'entreprise de la CCI Paris.</t>
        </is>
      </c>
      <c r="L180" s="11" t="inlineStr">
        <is>
          <t>cedants, repreneurs et conseils</t>
        </is>
      </c>
      <c r="M180" s="10" t="inlineStr">
        <is>
          <t>Transmission, cession-reprise d'entreprise, ingenierie patrimoniale</t>
        </is>
      </c>
      <c r="N180" s="10" t="inlineStr">
        <is>
          <t>non identifié publiquement</t>
        </is>
      </c>
      <c r="O180" s="10" t="inlineStr">
        <is>
          <t>non identifié publiquement</t>
        </is>
      </c>
      <c r="P180" s="10" t="inlineStr"/>
      <c r="Q180" s="11" t="inlineStr"/>
      <c r="R180" s="10" t="inlineStr">
        <is>
          <t>inscription libre</t>
        </is>
      </c>
      <c r="S180" s="10" t="inlineStr">
        <is>
          <t>non</t>
        </is>
      </c>
      <c r="T180" s="11" t="inlineStr"/>
      <c r="U180" s="10" t="inlineStr">
        <is>
          <t>non identifié publiquement</t>
        </is>
      </c>
      <c r="V180" s="10" t="inlineStr">
        <is>
          <t>https://www.entreprises.cci-paris-idf.fr/evenements/sourcing-comment-trouver-lentreprise-ou-lacheteur-ideale-sur-un-marche-masque</t>
        </is>
      </c>
      <c r="W180" s="10" t="inlineStr">
        <is>
          <t>2026-09-15</t>
        </is>
      </c>
      <c r="X180" s="11" t="inlineStr">
        <is>
          <t>Fait partie d'un cycle de neuf conferences programmees le meme jour (16 novembre 2026) au meme endroit par la CCI Paris : une ligne par conference, conformement a la regle de tracabilite des fiches sources.</t>
        </is>
      </c>
      <c r="Y180" s="7" t="inlineStr">
        <is>
          <t>9</t>
        </is>
      </c>
      <c r="Z180" s="7" t="inlineStr">
        <is>
          <t>Services professionnels / Conseil / Juridique / Comptabilité</t>
        </is>
      </c>
      <c r="AA180" s="7" t="inlineStr"/>
      <c r="AB180" s="7" t="inlineStr"/>
      <c r="AC180" s="7" t="inlineStr">
        <is>
          <t>4</t>
        </is>
      </c>
      <c r="AD180" s="7" t="inlineStr">
        <is>
          <t>2</t>
        </is>
      </c>
      <c r="AE180" s="7" t="inlineStr">
        <is>
          <t>0</t>
        </is>
      </c>
      <c r="AF180" s="7" t="inlineStr">
        <is>
          <t>Générique / Multi-éditeurs / Sans dominante</t>
        </is>
      </c>
      <c r="AG180" s="8" t="inlineStr">
        <is>
          <t>estimé</t>
        </is>
      </c>
      <c r="AH180" s="12" t="inlineStr">
        <is>
          <t>Aucune dimension logicielle dans le positionnement de l'organisateur : rattache au 0 (sans dominante) plutot que laisse vide, conformement a la demande de non-vide</t>
        </is>
      </c>
      <c r="AI180" s="7" t="inlineStr">
        <is>
          <t>3</t>
        </is>
      </c>
      <c r="AJ180" s="7" t="inlineStr">
        <is>
          <t>41-120</t>
        </is>
      </c>
      <c r="AK180" s="8" t="inlineStr">
        <is>
          <t>estimé</t>
        </is>
      </c>
      <c r="AL180" s="7" t="inlineStr">
        <is>
          <t>estimation : 40 a 120 participants</t>
        </is>
      </c>
      <c r="AM180" s="11" t="inlineStr">
        <is>
          <t>Modele de format (conference de cycle en chambre de commerce), fourchette 40-120, plafonnee par la capacite du lieu (CCI Paris, 11 rue Leon Jouhaux ~ 120)</t>
        </is>
      </c>
      <c r="AN180" s="7" t="inlineStr">
        <is>
          <t>moyenne</t>
        </is>
      </c>
      <c r="AO180" s="7" t="inlineStr">
        <is>
          <t>4</t>
        </is>
      </c>
      <c r="AP180" s="7" t="inlineStr">
        <is>
          <t>Partenaires / Prescripteurs / Consultants / Intégrateurs</t>
        </is>
      </c>
      <c r="AQ180" s="7" t="inlineStr">
        <is>
          <t>constaté</t>
        </is>
      </c>
      <c r="AR180" s="12" t="inlineStr"/>
      <c r="AS180" s="7" t="inlineStr">
        <is>
          <t>2</t>
        </is>
      </c>
      <c r="AT180" s="7" t="inlineStr">
        <is>
          <t>Moyen</t>
        </is>
      </c>
      <c r="AU180" s="7" t="inlineStr">
        <is>
          <t>constaté</t>
        </is>
      </c>
      <c r="AV180" s="12" t="inlineStr"/>
      <c r="AW180" s="7" t="inlineStr">
        <is>
          <t>S:9 L:0 N:3 P:4 A:2</t>
        </is>
      </c>
    </row>
    <row r="181">
      <c r="A181" s="10" t="inlineStr">
        <is>
          <t>Tout comprendre sur la transmission d’entreprise aux salariés sous forme de SCOP</t>
        </is>
      </c>
      <c r="B181" s="10" t="inlineStr">
        <is>
          <t>CCI Paris Ile-de-France</t>
        </is>
      </c>
      <c r="C181" s="10" t="inlineStr">
        <is>
          <t>2026-11-16</t>
        </is>
      </c>
      <c r="D181" s="10" t="inlineStr"/>
      <c r="E181" s="10" t="inlineStr"/>
      <c r="F181" s="10" t="inlineStr">
        <is>
          <t>non identifié publiquement</t>
        </is>
      </c>
      <c r="G181" s="10" t="inlineStr">
        <is>
          <t>CCI Paris, 11 rue Leon Jouhaux</t>
        </is>
      </c>
      <c r="H181" s="10" t="inlineStr">
        <is>
          <t>Paris 10e</t>
        </is>
      </c>
      <c r="I181" s="10" t="inlineStr">
        <is>
          <t>75</t>
        </is>
      </c>
      <c r="J181" s="10" t="inlineStr">
        <is>
          <t>présentiel</t>
        </is>
      </c>
      <c r="K181" s="11" t="inlineStr">
        <is>
          <t>Conference du cycle transmission-reprise d'entreprise de la CCI Paris.</t>
        </is>
      </c>
      <c r="L181" s="11" t="inlineStr">
        <is>
          <t>cedants, repreneurs et conseils</t>
        </is>
      </c>
      <c r="M181" s="10" t="inlineStr">
        <is>
          <t>Transmission, cession-reprise d'entreprise, ingenierie patrimoniale</t>
        </is>
      </c>
      <c r="N181" s="10" t="inlineStr">
        <is>
          <t>non identifié publiquement</t>
        </is>
      </c>
      <c r="O181" s="10" t="inlineStr">
        <is>
          <t>non identifié publiquement</t>
        </is>
      </c>
      <c r="P181" s="10" t="inlineStr"/>
      <c r="Q181" s="11" t="inlineStr"/>
      <c r="R181" s="10" t="inlineStr">
        <is>
          <t>inscription libre</t>
        </is>
      </c>
      <c r="S181" s="10" t="inlineStr">
        <is>
          <t>non</t>
        </is>
      </c>
      <c r="T181" s="11" t="inlineStr"/>
      <c r="U181" s="10" t="inlineStr">
        <is>
          <t>non identifié publiquement</t>
        </is>
      </c>
      <c r="V181" s="10" t="inlineStr">
        <is>
          <t>https://www.entreprises.cci-paris-idf.fr/evenements/tout-comprendre-sur-la-transmission-dentreprise-aux-salaries-sous-forme-de-scop</t>
        </is>
      </c>
      <c r="W181" s="10" t="inlineStr">
        <is>
          <t>2026-09-15</t>
        </is>
      </c>
      <c r="X181" s="11" t="inlineStr">
        <is>
          <t>Fait partie d'un cycle de neuf conferences programmees le meme jour (16 novembre 2026) au meme endroit par la CCI Paris : une ligne par conference, conformement a la regle de tracabilite des fiches sources.</t>
        </is>
      </c>
      <c r="Y181" s="7" t="inlineStr">
        <is>
          <t>9</t>
        </is>
      </c>
      <c r="Z181" s="7" t="inlineStr">
        <is>
          <t>Services professionnels / Conseil / Juridique / Comptabilité</t>
        </is>
      </c>
      <c r="AA181" s="7" t="inlineStr"/>
      <c r="AB181" s="7" t="inlineStr"/>
      <c r="AC181" s="7" t="inlineStr">
        <is>
          <t>4</t>
        </is>
      </c>
      <c r="AD181" s="7" t="inlineStr">
        <is>
          <t>2</t>
        </is>
      </c>
      <c r="AE181" s="7" t="inlineStr">
        <is>
          <t>0</t>
        </is>
      </c>
      <c r="AF181" s="7" t="inlineStr">
        <is>
          <t>Générique / Multi-éditeurs / Sans dominante</t>
        </is>
      </c>
      <c r="AG181" s="8" t="inlineStr">
        <is>
          <t>estimé</t>
        </is>
      </c>
      <c r="AH181" s="12" t="inlineStr">
        <is>
          <t>Aucune dimension logicielle dans le positionnement de l'organisateur : rattache au 0 (sans dominante) plutot que laisse vide, conformement a la demande de non-vide</t>
        </is>
      </c>
      <c r="AI181" s="7" t="inlineStr">
        <is>
          <t>3</t>
        </is>
      </c>
      <c r="AJ181" s="7" t="inlineStr">
        <is>
          <t>41-120</t>
        </is>
      </c>
      <c r="AK181" s="8" t="inlineStr">
        <is>
          <t>estimé</t>
        </is>
      </c>
      <c r="AL181" s="7" t="inlineStr">
        <is>
          <t>estimation : 40 a 120 participants</t>
        </is>
      </c>
      <c r="AM181" s="11" t="inlineStr">
        <is>
          <t>Modele de format (conference de cycle en chambre de commerce), fourchette 40-120, plafonnee par la capacite du lieu (CCI Paris, 11 rue Leon Jouhaux ~ 120)</t>
        </is>
      </c>
      <c r="AN181" s="7" t="inlineStr">
        <is>
          <t>moyenne</t>
        </is>
      </c>
      <c r="AO181" s="7" t="inlineStr">
        <is>
          <t>4</t>
        </is>
      </c>
      <c r="AP181" s="7" t="inlineStr">
        <is>
          <t>Partenaires / Prescripteurs / Consultants / Intégrateurs</t>
        </is>
      </c>
      <c r="AQ181" s="7" t="inlineStr">
        <is>
          <t>constaté</t>
        </is>
      </c>
      <c r="AR181" s="12" t="inlineStr"/>
      <c r="AS181" s="7" t="inlineStr">
        <is>
          <t>2</t>
        </is>
      </c>
      <c r="AT181" s="7" t="inlineStr">
        <is>
          <t>Moyen</t>
        </is>
      </c>
      <c r="AU181" s="7" t="inlineStr">
        <is>
          <t>constaté</t>
        </is>
      </c>
      <c r="AV181" s="12" t="inlineStr"/>
      <c r="AW181" s="7" t="inlineStr">
        <is>
          <t>S:9 L:0 N:3 P:4 A:2</t>
        </is>
      </c>
    </row>
    <row r="182">
      <c r="A182" s="10" t="inlineStr">
        <is>
          <t>« Et la marque, vous l'avez mise dans le prix ? »  L'actif trop souvent oublié de la transmission d'entreprise</t>
        </is>
      </c>
      <c r="B182" s="10" t="inlineStr">
        <is>
          <t>CCI Paris Ile-de-France</t>
        </is>
      </c>
      <c r="C182" s="10" t="inlineStr">
        <is>
          <t>2026-11-16</t>
        </is>
      </c>
      <c r="D182" s="10" t="inlineStr"/>
      <c r="E182" s="10" t="inlineStr"/>
      <c r="F182" s="10" t="inlineStr">
        <is>
          <t>non identifié publiquement</t>
        </is>
      </c>
      <c r="G182" s="10" t="inlineStr">
        <is>
          <t>CCI Paris, 11 rue Leon Jouhaux</t>
        </is>
      </c>
      <c r="H182" s="10" t="inlineStr">
        <is>
          <t>Paris 10e</t>
        </is>
      </c>
      <c r="I182" s="10" t="inlineStr">
        <is>
          <t>75</t>
        </is>
      </c>
      <c r="J182" s="10" t="inlineStr">
        <is>
          <t>présentiel</t>
        </is>
      </c>
      <c r="K182" s="11" t="inlineStr">
        <is>
          <t>Conference du cycle transmission-reprise d'entreprise de la CCI Paris.</t>
        </is>
      </c>
      <c r="L182" s="11" t="inlineStr">
        <is>
          <t>cedants, repreneurs et conseils</t>
        </is>
      </c>
      <c r="M182" s="10" t="inlineStr">
        <is>
          <t>Transmission, cession-reprise d'entreprise, ingenierie patrimoniale</t>
        </is>
      </c>
      <c r="N182" s="10" t="inlineStr">
        <is>
          <t>non identifié publiquement</t>
        </is>
      </c>
      <c r="O182" s="10" t="inlineStr">
        <is>
          <t>non identifié publiquement</t>
        </is>
      </c>
      <c r="P182" s="10" t="inlineStr"/>
      <c r="Q182" s="11" t="inlineStr"/>
      <c r="R182" s="10" t="inlineStr">
        <is>
          <t>inscription libre</t>
        </is>
      </c>
      <c r="S182" s="10" t="inlineStr">
        <is>
          <t>non</t>
        </is>
      </c>
      <c r="T182" s="11" t="inlineStr"/>
      <c r="U182" s="10" t="inlineStr">
        <is>
          <t>non identifié publiquement</t>
        </is>
      </c>
      <c r="V182" s="10" t="inlineStr">
        <is>
          <t>https://www.entreprises.cci-paris-idf.fr/evenements/transfair-comment-se-valorise-une-marque-par-valomarques</t>
        </is>
      </c>
      <c r="W182" s="10" t="inlineStr">
        <is>
          <t>2026-09-15</t>
        </is>
      </c>
      <c r="X182" s="11" t="inlineStr">
        <is>
          <t>Fait partie d'un cycle de neuf conferences programmees le meme jour (16 novembre 2026) au meme endroit par la CCI Paris : une ligne par conference, conformement a la regle de tracabilite des fiches sources.</t>
        </is>
      </c>
      <c r="Y182" s="7" t="inlineStr">
        <is>
          <t>9</t>
        </is>
      </c>
      <c r="Z182" s="7" t="inlineStr">
        <is>
          <t>Services professionnels / Conseil / Juridique / Comptabilité</t>
        </is>
      </c>
      <c r="AA182" s="7" t="inlineStr"/>
      <c r="AB182" s="7" t="inlineStr"/>
      <c r="AC182" s="7" t="inlineStr">
        <is>
          <t>4</t>
        </is>
      </c>
      <c r="AD182" s="7" t="inlineStr">
        <is>
          <t>2</t>
        </is>
      </c>
      <c r="AE182" s="7" t="inlineStr">
        <is>
          <t>0</t>
        </is>
      </c>
      <c r="AF182" s="7" t="inlineStr">
        <is>
          <t>Générique / Multi-éditeurs / Sans dominante</t>
        </is>
      </c>
      <c r="AG182" s="8" t="inlineStr">
        <is>
          <t>estimé</t>
        </is>
      </c>
      <c r="AH182" s="12" t="inlineStr">
        <is>
          <t>Aucune dimension logicielle dans le positionnement de l'organisateur : rattache au 0 (sans dominante) plutot que laisse vide, conformement a la demande de non-vide</t>
        </is>
      </c>
      <c r="AI182" s="7" t="inlineStr">
        <is>
          <t>3</t>
        </is>
      </c>
      <c r="AJ182" s="7" t="inlineStr">
        <is>
          <t>41-120</t>
        </is>
      </c>
      <c r="AK182" s="8" t="inlineStr">
        <is>
          <t>estimé</t>
        </is>
      </c>
      <c r="AL182" s="7" t="inlineStr">
        <is>
          <t>estimation : 120 a 120 participants</t>
        </is>
      </c>
      <c r="AM182" s="11" t="inlineStr">
        <is>
          <t>Modele de format (conference technique ou sectorielle), fourchette 120-120, plafonnee par la capacite du lieu (CCI Paris, 11 rue Leon Jouhaux ~ 120)</t>
        </is>
      </c>
      <c r="AN182" s="7" t="inlineStr">
        <is>
          <t>moyenne</t>
        </is>
      </c>
      <c r="AO182" s="7" t="inlineStr">
        <is>
          <t>4</t>
        </is>
      </c>
      <c r="AP182" s="7" t="inlineStr">
        <is>
          <t>Partenaires / Prescripteurs / Consultants / Intégrateurs</t>
        </is>
      </c>
      <c r="AQ182" s="7" t="inlineStr">
        <is>
          <t>constaté</t>
        </is>
      </c>
      <c r="AR182" s="12" t="inlineStr"/>
      <c r="AS182" s="7" t="inlineStr">
        <is>
          <t>2</t>
        </is>
      </c>
      <c r="AT182" s="7" t="inlineStr">
        <is>
          <t>Moyen</t>
        </is>
      </c>
      <c r="AU182" s="7" t="inlineStr">
        <is>
          <t>constaté</t>
        </is>
      </c>
      <c r="AV182" s="12" t="inlineStr"/>
      <c r="AW182" s="7" t="inlineStr">
        <is>
          <t>S:9 L:0 N:3 P:4 A:2</t>
        </is>
      </c>
    </row>
    <row r="183">
      <c r="A183" s="10" t="inlineStr">
        <is>
          <t>Argus Factory</t>
        </is>
      </c>
      <c r="B183" s="10" t="inlineStr">
        <is>
          <t>Infopro Digital</t>
        </is>
      </c>
      <c r="C183" s="10" t="inlineStr">
        <is>
          <t>2026-11-17</t>
        </is>
      </c>
      <c r="D183" s="10" t="inlineStr"/>
      <c r="E183" s="10" t="inlineStr"/>
      <c r="F183" s="10" t="inlineStr">
        <is>
          <t>non identifié publiquement</t>
        </is>
      </c>
      <c r="G183" s="10" t="inlineStr">
        <is>
          <t>non identifié publiquement</t>
        </is>
      </c>
      <c r="H183" s="10" t="inlineStr">
        <is>
          <t>Paris (arrondissement non communique)</t>
        </is>
      </c>
      <c r="I183" s="10" t="inlineStr">
        <is>
          <t>75</t>
        </is>
      </c>
      <c r="J183" s="10" t="inlineStr">
        <is>
          <t>présentiel</t>
        </is>
      </c>
      <c r="K183" s="11" t="inlineStr">
        <is>
          <t>Découvrez comment l'IA transforme votre stratégie CRM et accélère la performance commerciale de votre entreprise.</t>
        </is>
      </c>
      <c r="L183" s="11" t="inlineStr">
        <is>
          <t>non identifié publiquement</t>
        </is>
      </c>
      <c r="M183" s="10" t="inlineStr">
        <is>
          <t>Numerique, informatique, technologies</t>
        </is>
      </c>
      <c r="N183" s="10" t="inlineStr">
        <is>
          <t>Argus Factory - Découvrez comment l'IA transforme votre stratégie CRM et accélère la performance commerciale de votre entrepri</t>
        </is>
      </c>
      <c r="O183" s="10" t="inlineStr">
        <is>
          <t>non identifié publiquement</t>
        </is>
      </c>
      <c r="P183" s="10" t="inlineStr">
        <is>
          <t>ESTIME</t>
        </is>
      </c>
      <c r="Q183" s="11" t="inlineStr">
        <is>
          <t>Effectif attendu publie par l'agregateur specialise Agenda Tech pour cette edition</t>
        </is>
      </c>
      <c r="R183" s="10" t="inlineStr">
        <is>
          <t>non identifié publiquement</t>
        </is>
      </c>
      <c r="S183" s="10" t="inlineStr">
        <is>
          <t>non</t>
        </is>
      </c>
      <c r="T183" s="11" t="inlineStr"/>
      <c r="U183" s="10" t="inlineStr">
        <is>
          <t>non identifié publiquement</t>
        </is>
      </c>
      <c r="V183" s="10" t="inlineStr">
        <is>
          <t>https://www.agenda-tech.com/events/argus-factory-2026</t>
        </is>
      </c>
      <c r="W183" s="10" t="inlineStr">
        <is>
          <t>2026-09-15</t>
        </is>
      </c>
      <c r="X183" s="11" t="inlineStr">
        <is>
          <t>Identifie via l'agregateur specialise Agenda Tech (donnees structurees schema.org publiees par l'organisateur).</t>
        </is>
      </c>
      <c r="Y183" s="7" t="inlineStr">
        <is>
          <t>16|4</t>
        </is>
      </c>
      <c r="Z183" s="7" t="inlineStr">
        <is>
          <t>IA / Intelligence artificielle + Tech / IT / Logiciels / Télécom</t>
        </is>
      </c>
      <c r="AA183" s="7" t="inlineStr">
        <is>
          <t>2</t>
        </is>
      </c>
      <c r="AB183" s="7" t="inlineStr"/>
      <c r="AC183" s="7" t="inlineStr"/>
      <c r="AD183" s="7" t="inlineStr"/>
      <c r="AE183" s="7" t="inlineStr">
        <is>
          <t>2</t>
        </is>
      </c>
      <c r="AF183" s="7" t="inlineStr">
        <is>
          <t>CRM / Vente / Relation client</t>
        </is>
      </c>
      <c r="AG183" s="7" t="inlineStr">
        <is>
          <t>constaté</t>
        </is>
      </c>
      <c r="AH183" s="12" t="inlineStr"/>
      <c r="AI183" s="7" t="inlineStr">
        <is>
          <t>4</t>
        </is>
      </c>
      <c r="AJ183" s="7" t="inlineStr">
        <is>
          <t>121-400</t>
        </is>
      </c>
      <c r="AK183" s="8" t="inlineStr">
        <is>
          <t>estimé</t>
        </is>
      </c>
      <c r="AL183" s="7" t="inlineStr">
        <is>
          <t>environ 250 participants</t>
        </is>
      </c>
      <c r="AM183" s="11" t="inlineStr">
        <is>
          <t>Effectif attendu publie par Agenda Tech (agregateur specialise, chiffre de l'organisateur ou de l'agregateur)</t>
        </is>
      </c>
      <c r="AN183" s="7" t="inlineStr">
        <is>
          <t>moyenne</t>
        </is>
      </c>
      <c r="AO183" s="7" t="inlineStr">
        <is>
          <t>3</t>
        </is>
      </c>
      <c r="AP183" s="7" t="inlineStr">
        <is>
          <t>Opérationnels / Utilisateurs métier</t>
        </is>
      </c>
      <c r="AQ183" s="8" t="inlineStr">
        <is>
          <t>estimé</t>
        </is>
      </c>
      <c r="AR183" s="12" t="inlineStr">
        <is>
          <t>Conference technique IA : profils operationnels et utilisateurs metier</t>
        </is>
      </c>
      <c r="AS183" s="7" t="inlineStr">
        <is>
          <t>2</t>
        </is>
      </c>
      <c r="AT183" s="7" t="inlineStr">
        <is>
          <t>Moyen</t>
        </is>
      </c>
      <c r="AU183" s="8" t="inlineStr">
        <is>
          <t>estimé</t>
        </is>
      </c>
      <c r="AV183" s="12" t="inlineStr">
        <is>
          <t>Billetterie en vente libre (mention 'Voir tarifs sur le site' chez Agenda Tech), sans gratuite confirmee</t>
        </is>
      </c>
      <c r="AW183" s="7" t="inlineStr">
        <is>
          <t>S:16|4 L:2 N:4 P:3 A:2</t>
        </is>
      </c>
    </row>
    <row r="184">
      <c r="A184" s="10" t="inlineStr">
        <is>
          <t>Formation numerique : concevez vos agents IA et gagnez en performance</t>
        </is>
      </c>
      <c r="B184" s="10" t="inlineStr">
        <is>
          <t>CCI Paris Ile-de-France</t>
        </is>
      </c>
      <c r="C184" s="10" t="inlineStr">
        <is>
          <t>2026-11-17</t>
        </is>
      </c>
      <c r="D184" s="10" t="inlineStr"/>
      <c r="E184" s="10" t="inlineStr"/>
      <c r="F184" s="10" t="inlineStr">
        <is>
          <t>non identifié publiquement</t>
        </is>
      </c>
      <c r="G184" s="10" t="inlineStr">
        <is>
          <t>CCI Hauts-de-Seine - Coeur Defense, Tour A, 2e etage</t>
        </is>
      </c>
      <c r="H184" s="10" t="inlineStr">
        <is>
          <t>Courbevoie (quartier Paris La Defense)</t>
        </is>
      </c>
      <c r="I184" s="10" t="inlineStr">
        <is>
          <t>92</t>
        </is>
      </c>
      <c r="J184" s="10" t="inlineStr">
        <is>
          <t>présentiel</t>
        </is>
      </c>
      <c r="K184" s="11" t="inlineStr">
        <is>
          <t>Formation a la conception d'agents IA pour gagner en performance.</t>
        </is>
      </c>
      <c r="L184" s="11" t="inlineStr">
        <is>
          <t>non identifié publiquement</t>
        </is>
      </c>
      <c r="M184" s="10" t="inlineStr">
        <is>
          <t>Tous secteurs</t>
        </is>
      </c>
      <c r="N184" s="10" t="inlineStr">
        <is>
          <t>Intelligence artificielle generative, agents IA, automatisation</t>
        </is>
      </c>
      <c r="O184" s="10" t="inlineStr">
        <is>
          <t>non identifié publiquement</t>
        </is>
      </c>
      <c r="P184" s="10" t="inlineStr"/>
      <c r="Q184" s="11" t="inlineStr"/>
      <c r="R184" s="10" t="inlineStr">
        <is>
          <t>inscription libre</t>
        </is>
      </c>
      <c r="S184" s="10" t="inlineStr">
        <is>
          <t>non</t>
        </is>
      </c>
      <c r="T184" s="11" t="inlineStr"/>
      <c r="U184" s="10" t="inlineStr">
        <is>
          <t>495 EUR TTC</t>
        </is>
      </c>
      <c r="V184" s="10" t="inlineStr">
        <is>
          <t>https://www.entreprises.cci-paris-idf.fr/evenements/formation-numerique-concevez-vos-agents-ia-et-gagnez-en-performance</t>
        </is>
      </c>
      <c r="W184" s="10" t="inlineStr">
        <is>
          <t>2026-09-15</t>
        </is>
      </c>
      <c r="X184" s="11" t="inlineStr">
        <is>
          <t>ATELIER IA : concurrence directe ou partenariat possible pour une offre de conseil IA aupres des PME. La CCI Paris IDF a industrialise une offre IA pour TPE-PME sur la periode.</t>
        </is>
      </c>
      <c r="Y184" s="7" t="inlineStr">
        <is>
          <t>16</t>
        </is>
      </c>
      <c r="Z184" s="7" t="inlineStr">
        <is>
          <t>IA / Intelligence artificielle</t>
        </is>
      </c>
      <c r="AA184" s="7" t="inlineStr">
        <is>
          <t>11</t>
        </is>
      </c>
      <c r="AB184" s="7" t="inlineStr"/>
      <c r="AC184" s="7" t="inlineStr"/>
      <c r="AD184" s="7" t="inlineStr">
        <is>
          <t>2</t>
        </is>
      </c>
      <c r="AE184" s="7" t="inlineStr">
        <is>
          <t>11</t>
        </is>
      </c>
      <c r="AF184" s="7" t="inlineStr">
        <is>
          <t>IA / Automatisation / No-code / Low-code</t>
        </is>
      </c>
      <c r="AG184" s="7" t="inlineStr">
        <is>
          <t>constaté</t>
        </is>
      </c>
      <c r="AH184" s="12" t="inlineStr"/>
      <c r="AI184" s="7" t="inlineStr">
        <is>
          <t>2</t>
        </is>
      </c>
      <c r="AJ184" s="7" t="inlineStr">
        <is>
          <t>16-40</t>
        </is>
      </c>
      <c r="AK184" s="8" t="inlineStr">
        <is>
          <t>estimé</t>
        </is>
      </c>
      <c r="AL184" s="7" t="inlineStr">
        <is>
          <t>estimation : 10 a 30 participants</t>
        </is>
      </c>
      <c r="AM184" s="11" t="inlineStr">
        <is>
          <t>Modele de format (atelier ou formation en chambre de commerce), fourchette 10-30, plafonnee par la capacite du lieu (CCI Hauts-de-Seine - Coeur Defense, Tour ~ 120)</t>
        </is>
      </c>
      <c r="AN184" s="7" t="inlineStr">
        <is>
          <t>moyenne</t>
        </is>
      </c>
      <c r="AO184" s="7" t="inlineStr">
        <is>
          <t>1</t>
        </is>
      </c>
      <c r="AP184" s="7" t="inlineStr">
        <is>
          <t>Décideurs PME/ETI</t>
        </is>
      </c>
      <c r="AQ184" s="8" t="inlineStr">
        <is>
          <t>estimé</t>
        </is>
      </c>
      <c r="AR184" s="12" t="inlineStr">
        <is>
          <t>Organisateur CCI : public cible structurel de dirigeants et collaborateurs de TPE-PME</t>
        </is>
      </c>
      <c r="AS184" s="7" t="inlineStr">
        <is>
          <t>2</t>
        </is>
      </c>
      <c r="AT184" s="7" t="inlineStr">
        <is>
          <t>Moyen</t>
        </is>
      </c>
      <c r="AU184" s="7" t="inlineStr">
        <is>
          <t>constaté</t>
        </is>
      </c>
      <c r="AV184" s="12" t="inlineStr"/>
      <c r="AW184" s="7" t="inlineStr">
        <is>
          <t>S:16 L:11 N:2 P:1 A:2</t>
        </is>
      </c>
    </row>
    <row r="185">
      <c r="A185" s="10" t="inlineStr">
        <is>
          <t>Heavent Paris 2026 (25e edition)</t>
        </is>
      </c>
      <c r="B185" s="10" t="inlineStr">
        <is>
          <t>Weyou Group</t>
        </is>
      </c>
      <c r="C185" s="10" t="inlineStr">
        <is>
          <t>2026-11-17</t>
        </is>
      </c>
      <c r="D185" s="10" t="inlineStr">
        <is>
          <t>2026-11-19</t>
        </is>
      </c>
      <c r="E185" s="10" t="inlineStr"/>
      <c r="F185" s="10" t="inlineStr">
        <is>
          <t>annuel</t>
        </is>
      </c>
      <c r="G185" s="10" t="inlineStr">
        <is>
          <t>Paris Expo Porte de Versailles - Pavillon 4</t>
        </is>
      </c>
      <c r="H185" s="10" t="inlineStr">
        <is>
          <t>Paris 15e</t>
        </is>
      </c>
      <c r="I185" s="10" t="inlineStr">
        <is>
          <t>75</t>
        </is>
      </c>
      <c r="J185" s="10" t="inlineStr">
        <is>
          <t>présentiel</t>
        </is>
      </c>
      <c r="K185" s="11" t="inlineStr">
        <is>
          <t>Salon de l'innovation, des solutions et des services pour les evenements et les spectacles.</t>
        </is>
      </c>
      <c r="L185" s="11" t="inlineStr">
        <is>
          <t>decideurs et prescripteurs dans l'organisation d'evenements professionnels : entreprises, agences evenementielles, associations, professionnels du congres, institutions</t>
        </is>
      </c>
      <c r="M185" s="10" t="inlineStr">
        <is>
          <t>Commerce, relations internationales et services aux entreprises (voyages d'affaires et de stimulation, etc.)</t>
        </is>
      </c>
      <c r="N185" s="10" t="inlineStr">
        <is>
          <t>non identifié publiquement</t>
        </is>
      </c>
      <c r="O185" s="10" t="inlineStr">
        <is>
          <t>plus de 20 000 visiteurs, 490 exposants</t>
        </is>
      </c>
      <c r="P185" s="10" t="inlineStr">
        <is>
          <t>CONFIRME</t>
        </is>
      </c>
      <c r="Q185" s="11" t="inlineStr">
        <is>
          <t>Chiffres affiches par l'organisateur sur le site officiel de l'edition 2026</t>
        </is>
      </c>
      <c r="R185" s="10" t="inlineStr">
        <is>
          <t>inscription libre</t>
        </is>
      </c>
      <c r="S185" s="10" t="inlineStr">
        <is>
          <t>oui</t>
        </is>
      </c>
      <c r="T185" s="11" t="inlineStr">
        <is>
          <t>Inscription reservee aux professionnels</t>
        </is>
      </c>
      <c r="U185" s="10" t="inlineStr">
        <is>
          <t>non identifié publiquement</t>
        </is>
      </c>
      <c r="V185" s="10" t="inlineStr">
        <is>
          <t>https://www.heavent-paris.com/</t>
        </is>
      </c>
      <c r="W185" s="10" t="inlineStr">
        <is>
          <t>2026-09-15</t>
        </is>
      </c>
      <c r="X185" s="11" t="inlineStr">
        <is>
          <t>Horaires publies : mardi 17 de 10h a 22h, mercredi 18 de 10h a 19h (Heavent Party a partir de 19h), jeudi 19 de 10h a 17h.</t>
        </is>
      </c>
      <c r="Y185" s="7" t="inlineStr">
        <is>
          <t>5</t>
        </is>
      </c>
      <c r="Z185" s="7" t="inlineStr">
        <is>
          <t>Commerce / Distribution / E-commerce</t>
        </is>
      </c>
      <c r="AA185" s="7" t="inlineStr"/>
      <c r="AB185" s="7" t="inlineStr">
        <is>
          <t>6</t>
        </is>
      </c>
      <c r="AC185" s="7" t="inlineStr">
        <is>
          <t>1|4</t>
        </is>
      </c>
      <c r="AD185" s="7" t="inlineStr">
        <is>
          <t>2</t>
        </is>
      </c>
      <c r="AE185" s="7" t="inlineStr">
        <is>
          <t>0</t>
        </is>
      </c>
      <c r="AF185" s="7" t="inlineStr">
        <is>
          <t>Générique / Multi-éditeurs / Sans dominante</t>
        </is>
      </c>
      <c r="AG185" s="8" t="inlineStr">
        <is>
          <t>estimé</t>
        </is>
      </c>
      <c r="AH185" s="12" t="inlineStr">
        <is>
          <t>Aucune dimension logicielle dans le positionnement de l'organisateur : rattache au 0 (sans dominante) plutot que laisse vide, conformement a la demande de non-vide</t>
        </is>
      </c>
      <c r="AI185" s="7" t="inlineStr">
        <is>
          <t>6</t>
        </is>
      </c>
      <c r="AJ185" s="7" t="inlineStr">
        <is>
          <t>&gt;2000</t>
        </is>
      </c>
      <c r="AK185" s="7" t="inlineStr">
        <is>
          <t>constaté</t>
        </is>
      </c>
      <c r="AL185" s="7" t="inlineStr">
        <is>
          <t>plus de 20 000 visiteurs, 490 exposants</t>
        </is>
      </c>
      <c r="AM185" s="11" t="inlineStr">
        <is>
          <t>Chiffre publie par l'organisateur (colonne taille_source)</t>
        </is>
      </c>
      <c r="AN185" s="7" t="inlineStr">
        <is>
          <t>haute</t>
        </is>
      </c>
      <c r="AO185" s="7" t="inlineStr">
        <is>
          <t>1|4</t>
        </is>
      </c>
      <c r="AP185" s="7" t="inlineStr">
        <is>
          <t>Décideurs PME/ETI + Partenaires / Prescripteurs / Consultants / Intégrateurs</t>
        </is>
      </c>
      <c r="AQ185" s="7" t="inlineStr">
        <is>
          <t>constaté</t>
        </is>
      </c>
      <c r="AR185" s="12" t="inlineStr"/>
      <c r="AS185" s="7" t="inlineStr">
        <is>
          <t>2</t>
        </is>
      </c>
      <c r="AT185" s="7" t="inlineStr">
        <is>
          <t>Moyen</t>
        </is>
      </c>
      <c r="AU185" s="7" t="inlineStr">
        <is>
          <t>constaté</t>
        </is>
      </c>
      <c r="AV185" s="12" t="inlineStr"/>
      <c r="AW185" s="7" t="inlineStr">
        <is>
          <t>S:5 L:0 N:6 P:1|4 A:2</t>
        </is>
      </c>
    </row>
    <row r="186">
      <c r="A186" s="10" t="inlineStr">
        <is>
          <t>School of Product 2026</t>
        </is>
      </c>
      <c r="B186" s="10" t="inlineStr">
        <is>
          <t>OCTO Technology</t>
        </is>
      </c>
      <c r="C186" s="10" t="inlineStr">
        <is>
          <t>2026-11-17</t>
        </is>
      </c>
      <c r="D186" s="10" t="inlineStr"/>
      <c r="E186" s="10" t="inlineStr"/>
      <c r="F186" s="10" t="inlineStr">
        <is>
          <t>non identifié publiquement</t>
        </is>
      </c>
      <c r="G186" s="10" t="inlineStr">
        <is>
          <t>Pavillon Chesnaie du Roy</t>
        </is>
      </c>
      <c r="H186" s="10" t="inlineStr">
        <is>
          <t>Paris (arrondissement selon le lieu)</t>
        </is>
      </c>
      <c r="I186" s="10" t="inlineStr">
        <is>
          <t>75</t>
        </is>
      </c>
      <c r="J186" s="10" t="inlineStr">
        <is>
          <t>présentiel</t>
        </is>
      </c>
      <c r="K186" s="11" t="inlineStr">
        <is>
          <t>School of Product 2026 : conférence annuelle de la culture produit le 17 novembre à Paris. 400 participants, 20 speakers, 3 tracks et ateliers en présentiel.</t>
        </is>
      </c>
      <c r="L186" s="11" t="inlineStr">
        <is>
          <t>non identifié publiquement</t>
        </is>
      </c>
      <c r="M186" s="10" t="inlineStr">
        <is>
          <t>Numerique, informatique, technologies</t>
        </is>
      </c>
      <c r="N186" s="10" t="inlineStr">
        <is>
          <t>non identifié publiquement</t>
        </is>
      </c>
      <c r="O186" s="10" t="inlineStr">
        <is>
          <t>non identifié publiquement</t>
        </is>
      </c>
      <c r="P186" s="10" t="inlineStr">
        <is>
          <t>ESTIME</t>
        </is>
      </c>
      <c r="Q186" s="11" t="inlineStr">
        <is>
          <t>Effectif attendu publie par l'agregateur specialise Agenda Tech pour cette edition</t>
        </is>
      </c>
      <c r="R186" s="10" t="inlineStr">
        <is>
          <t>non identifié publiquement</t>
        </is>
      </c>
      <c r="S186" s="10" t="inlineStr">
        <is>
          <t>non</t>
        </is>
      </c>
      <c r="T186" s="11" t="inlineStr"/>
      <c r="U186" s="10" t="inlineStr">
        <is>
          <t>non identifié publiquement</t>
        </is>
      </c>
      <c r="V186" s="10" t="inlineStr">
        <is>
          <t>https://www.agenda-tech.com/events/school-of-product-paris-2026</t>
        </is>
      </c>
      <c r="W186" s="10" t="inlineStr">
        <is>
          <t>2026-09-15</t>
        </is>
      </c>
      <c r="X186" s="11" t="inlineStr">
        <is>
          <t>Identifie via l'agregateur specialise Agenda Tech (donnees structurees schema.org publiees par l'organisateur).</t>
        </is>
      </c>
      <c r="Y186" s="7" t="inlineStr">
        <is>
          <t>4</t>
        </is>
      </c>
      <c r="Z186" s="7" t="inlineStr">
        <is>
          <t>Tech / IT / Logiciels / Télécom</t>
        </is>
      </c>
      <c r="AA186" s="7" t="inlineStr">
        <is>
          <t>0</t>
        </is>
      </c>
      <c r="AB186" s="7" t="inlineStr"/>
      <c r="AC186" s="7" t="inlineStr"/>
      <c r="AD186" s="7" t="inlineStr"/>
      <c r="AE186" s="7" t="inlineStr">
        <is>
          <t>0</t>
        </is>
      </c>
      <c r="AF186" s="7" t="inlineStr">
        <is>
          <t>Générique / Multi-éditeurs / Sans dominante</t>
        </is>
      </c>
      <c r="AG186" s="7" t="inlineStr">
        <is>
          <t>déduit</t>
        </is>
      </c>
      <c r="AH186" s="12" t="inlineStr">
        <is>
          <t>Deduit du secteur (axe 1)</t>
        </is>
      </c>
      <c r="AI186" s="7" t="inlineStr">
        <is>
          <t>4</t>
        </is>
      </c>
      <c r="AJ186" s="7" t="inlineStr">
        <is>
          <t>121-400</t>
        </is>
      </c>
      <c r="AK186" s="8" t="inlineStr">
        <is>
          <t>estimé</t>
        </is>
      </c>
      <c r="AL186" s="7" t="inlineStr">
        <is>
          <t>environ 400 participants</t>
        </is>
      </c>
      <c r="AM186" s="11" t="inlineStr">
        <is>
          <t>Effectif attendu publie par Agenda Tech (agregateur specialise, chiffre de l'organisateur ou de l'agregateur)</t>
        </is>
      </c>
      <c r="AN186" s="7" t="inlineStr">
        <is>
          <t>moyenne</t>
        </is>
      </c>
      <c r="AO186" s="7" t="inlineStr">
        <is>
          <t>1</t>
        </is>
      </c>
      <c r="AP186" s="7" t="inlineStr">
        <is>
          <t>Décideurs PME/ETI</t>
        </is>
      </c>
      <c r="AQ186" s="8" t="inlineStr">
        <is>
          <t>estimé</t>
        </is>
      </c>
      <c r="AR186" s="12" t="inlineStr">
        <is>
          <t>Par defaut, evenement B2B francilien : decideurs PME/ETI</t>
        </is>
      </c>
      <c r="AS186" s="7" t="inlineStr">
        <is>
          <t>2</t>
        </is>
      </c>
      <c r="AT186" s="7" t="inlineStr">
        <is>
          <t>Moyen</t>
        </is>
      </c>
      <c r="AU186" s="8" t="inlineStr">
        <is>
          <t>estimé</t>
        </is>
      </c>
      <c r="AV186" s="12" t="inlineStr">
        <is>
          <t>Tarif payant publie par Agenda Tech</t>
        </is>
      </c>
      <c r="AW186" s="7" t="inlineStr">
        <is>
          <t>S:4 L:0 N:4 P:1 A:2</t>
        </is>
      </c>
    </row>
    <row r="187">
      <c r="A187" s="10" t="inlineStr">
        <is>
          <t>120e Congres Francais d'Urologie</t>
        </is>
      </c>
      <c r="B187" s="10" t="inlineStr">
        <is>
          <t>Association Francaise d'Urologie (AFU)</t>
        </is>
      </c>
      <c r="C187" s="10" t="inlineStr">
        <is>
          <t>2026-11-18</t>
        </is>
      </c>
      <c r="D187" s="10" t="inlineStr">
        <is>
          <t>2026-11-21</t>
        </is>
      </c>
      <c r="E187" s="10" t="inlineStr"/>
      <c r="F187" s="10" t="inlineStr">
        <is>
          <t>annuel</t>
        </is>
      </c>
      <c r="G187" s="10" t="inlineStr">
        <is>
          <t>Palais des Congres de Paris (Porte Maillot)</t>
        </is>
      </c>
      <c r="H187" s="10" t="inlineStr">
        <is>
          <t>Paris 17e</t>
        </is>
      </c>
      <c r="I187" s="10" t="inlineStr">
        <is>
          <t>75</t>
        </is>
      </c>
      <c r="J187" s="10" t="inlineStr">
        <is>
          <t>présentiel</t>
        </is>
      </c>
      <c r="K187" s="11" t="inlineStr">
        <is>
          <t>Congres annuel de l'urologie francaise.</t>
        </is>
      </c>
      <c r="L187" s="11" t="inlineStr">
        <is>
          <t>non identifié publiquement</t>
        </is>
      </c>
      <c r="M187" s="10" t="inlineStr">
        <is>
          <t>Sante, urologie</t>
        </is>
      </c>
      <c r="N187" s="10" t="inlineStr">
        <is>
          <t>non identifié publiquement</t>
        </is>
      </c>
      <c r="O187" s="10" t="inlineStr">
        <is>
          <t>non identifié publiquement</t>
        </is>
      </c>
      <c r="P187" s="10" t="inlineStr"/>
      <c r="Q187" s="11" t="inlineStr"/>
      <c r="R187" s="10" t="inlineStr">
        <is>
          <t>billet payant</t>
        </is>
      </c>
      <c r="S187" s="10" t="inlineStr">
        <is>
          <t>oui</t>
        </is>
      </c>
      <c r="T187" s="11" t="inlineStr">
        <is>
          <t>Congres reserve aux professionnels de sante</t>
        </is>
      </c>
      <c r="U187" s="10" t="inlineStr">
        <is>
          <t>non identifié publiquement</t>
        </is>
      </c>
      <c r="V187" s="10" t="inlineStr">
        <is>
          <t>https://www.viparis.com/actualites-evenements/evenements/120e-congres-francais-d-urologie</t>
        </is>
      </c>
      <c r="W187" s="10" t="inlineStr">
        <is>
          <t>2026-09-15</t>
        </is>
      </c>
      <c r="X187" s="11" t="inlineStr">
        <is>
          <t>Identifie via l'agenda du lieu (Viparis).</t>
        </is>
      </c>
      <c r="Y187" s="7" t="inlineStr">
        <is>
          <t>7</t>
        </is>
      </c>
      <c r="Z187" s="7" t="inlineStr">
        <is>
          <t>Santé / Pharma / Biotech / Medtech</t>
        </is>
      </c>
      <c r="AA187" s="7" t="inlineStr"/>
      <c r="AB187" s="7" t="inlineStr"/>
      <c r="AC187" s="7" t="inlineStr">
        <is>
          <t>7</t>
        </is>
      </c>
      <c r="AD187" s="7" t="inlineStr">
        <is>
          <t>2</t>
        </is>
      </c>
      <c r="AE187" s="7" t="inlineStr">
        <is>
          <t>0</t>
        </is>
      </c>
      <c r="AF187" s="7" t="inlineStr">
        <is>
          <t>Générique / Multi-éditeurs / Sans dominante</t>
        </is>
      </c>
      <c r="AG187" s="8" t="inlineStr">
        <is>
          <t>estimé</t>
        </is>
      </c>
      <c r="AH187" s="12" t="inlineStr">
        <is>
          <t>Aucune dimension logicielle dans le positionnement de l'organisateur : rattache au 0 (sans dominante) plutot que laisse vide, conformement a la demande de non-vide</t>
        </is>
      </c>
      <c r="AI187" s="7" t="inlineStr">
        <is>
          <t>6</t>
        </is>
      </c>
      <c r="AJ187" s="7" t="inlineStr">
        <is>
          <t>&gt;2000</t>
        </is>
      </c>
      <c r="AK187" s="8" t="inlineStr">
        <is>
          <t>estimé</t>
        </is>
      </c>
      <c r="AL187" s="7" t="inlineStr">
        <is>
          <t>estimation : 1000 a 6000 participants</t>
        </is>
      </c>
      <c r="AM187" s="11" t="inlineStr">
        <is>
          <t>Modele de format (congres de societe savante), fourchette 1000-6000, plafonnee par la capacite du lieu (Palais des Congres de Paris (Porte Maill ~ 10000)</t>
        </is>
      </c>
      <c r="AN187" s="7" t="inlineStr">
        <is>
          <t>moyenne</t>
        </is>
      </c>
      <c r="AO187" s="7" t="inlineStr">
        <is>
          <t>7</t>
        </is>
      </c>
      <c r="AP187" s="7" t="inlineStr">
        <is>
          <t>Experts / Advisors / Associations professionnelles</t>
        </is>
      </c>
      <c r="AQ187" s="7" t="inlineStr">
        <is>
          <t>constaté</t>
        </is>
      </c>
      <c r="AR187" s="12" t="inlineStr"/>
      <c r="AS187" s="7" t="inlineStr">
        <is>
          <t>2</t>
        </is>
      </c>
      <c r="AT187" s="7" t="inlineStr">
        <is>
          <t>Moyen</t>
        </is>
      </c>
      <c r="AU187" s="7" t="inlineStr">
        <is>
          <t>constaté</t>
        </is>
      </c>
      <c r="AV187" s="12" t="inlineStr"/>
      <c r="AW187" s="7" t="inlineStr">
        <is>
          <t>S:7 L:0 N:6 P:7 A:2</t>
        </is>
      </c>
    </row>
    <row r="188">
      <c r="A188" s="10" t="inlineStr">
        <is>
          <t>Tech Show Paris 2026 (Cloud Expo Europe, DevOps Live, Cloud &amp; Cyber Security, Data &amp; AI Leaders Summit, Data Centre World)</t>
        </is>
      </c>
      <c r="B188" s="10" t="inlineStr">
        <is>
          <t>CloserStill Media</t>
        </is>
      </c>
      <c r="C188" s="10" t="inlineStr">
        <is>
          <t>2026-11-18</t>
        </is>
      </c>
      <c r="D188" s="10" t="inlineStr">
        <is>
          <t>2026-11-19</t>
        </is>
      </c>
      <c r="E188" s="10" t="inlineStr"/>
      <c r="F188" s="10" t="inlineStr">
        <is>
          <t>annuel</t>
        </is>
      </c>
      <c r="G188" s="10" t="inlineStr">
        <is>
          <t>Paris Expo Porte de Versailles</t>
        </is>
      </c>
      <c r="H188" s="10" t="inlineStr">
        <is>
          <t>Paris 15e</t>
        </is>
      </c>
      <c r="I188" s="10" t="inlineStr">
        <is>
          <t>75</t>
        </is>
      </c>
      <c r="J188" s="10" t="inlineStr">
        <is>
          <t>présentiel</t>
        </is>
      </c>
      <c r="K188" s="11" t="inlineStr">
        <is>
          <t>Evenement B2B reunissant les leaders et decideurs du cloud, du DevOps, de la cybersecurite, de la data et des data centers.</t>
        </is>
      </c>
      <c r="L188" s="11" t="inlineStr">
        <is>
          <t>Visitorat : réservé aux professionnels (fiche CCI Paris Ile-de-France)</t>
        </is>
      </c>
      <c r="M188" s="10" t="inlineStr">
        <is>
          <t>Informatique, télécommunications, audiovisuel et multimédia</t>
        </is>
      </c>
      <c r="N188" s="10" t="inlineStr">
        <is>
          <t>Cloud, DevOps, cybersecurite, data, IA, infrastructure et data centers</t>
        </is>
      </c>
      <c r="O188" s="10" t="inlineStr">
        <is>
          <t>non identifié publiquement</t>
        </is>
      </c>
      <c r="P188" s="10" t="inlineStr"/>
      <c r="Q188" s="11" t="inlineStr"/>
      <c r="R188" s="10" t="inlineStr">
        <is>
          <t>inscription libre</t>
        </is>
      </c>
      <c r="S188" s="10" t="inlineStr">
        <is>
          <t>oui</t>
        </is>
      </c>
      <c r="T188" s="11" t="inlineStr">
        <is>
          <t>Evenement B2B reserve aux professionnels</t>
        </is>
      </c>
      <c r="U188" s="10" t="inlineStr">
        <is>
          <t>non identifié publiquement</t>
        </is>
      </c>
      <c r="V188" s="10" t="inlineStr">
        <is>
          <t>https://www.cci-paris-idf.fr/fr/evenements-salons/salons-foires-paris-ile-de-france/tech-show-paris-cloud-expo-europe-devops-live-cloud-cyber-security-data-ai-leaders-summit-data-centre-world</t>
        </is>
      </c>
      <c r="W188" s="10" t="inlineStr">
        <is>
          <t>2026-09-15</t>
        </is>
      </c>
      <c r="X188" s="11" t="inlineStr">
        <is>
          <t>FORT ALIGNEMENT ICP : bouquet de cinq salons co-localises dont un Data &amp; AI Leaders Summit. Une seule ligne conservee car commercialise comme un evenement unique sous la marque Tech Show Paris. Les marques composantes sont egalement referencees separement par les agregateurs (DevOps Live Paris, Cloud &amp; AI Infrastructure Paris) aux memes dates et au meme endroit : une seule ligne conservee, conformement a la regle de non-duplication des bouquets commercialises sous une marque unique.</t>
        </is>
      </c>
      <c r="Y188" s="7" t="inlineStr">
        <is>
          <t>16|4</t>
        </is>
      </c>
      <c r="Z188" s="7" t="inlineStr">
        <is>
          <t>IA / Intelligence artificielle + Tech / IT / Logiciels / Télécom</t>
        </is>
      </c>
      <c r="AA188" s="7" t="inlineStr">
        <is>
          <t>10</t>
        </is>
      </c>
      <c r="AB188" s="7" t="inlineStr"/>
      <c r="AC188" s="7" t="inlineStr">
        <is>
          <t>1</t>
        </is>
      </c>
      <c r="AD188" s="7" t="inlineStr">
        <is>
          <t>2</t>
        </is>
      </c>
      <c r="AE188" s="7" t="inlineStr">
        <is>
          <t>10</t>
        </is>
      </c>
      <c r="AF188" s="7" t="inlineStr">
        <is>
          <t>Cybersécurité</t>
        </is>
      </c>
      <c r="AG188" s="7" t="inlineStr">
        <is>
          <t>constaté</t>
        </is>
      </c>
      <c r="AH188" s="12" t="inlineStr"/>
      <c r="AI188" s="7" t="inlineStr">
        <is>
          <t>4</t>
        </is>
      </c>
      <c r="AJ188" s="7" t="inlineStr">
        <is>
          <t>121-400</t>
        </is>
      </c>
      <c r="AK188" s="8" t="inlineStr">
        <is>
          <t>estimé</t>
        </is>
      </c>
      <c r="AL188" s="7" t="inlineStr">
        <is>
          <t>estimation : 150 a 500 participants</t>
        </is>
      </c>
      <c r="AM188" s="11" t="inlineStr">
        <is>
          <t>Modele de format (sommet de dirigeants sur invitation), fourchette 150-500, plafonnee par la capacite du lieu (Paris Expo Porte de Versailles ~ 200000)</t>
        </is>
      </c>
      <c r="AN188" s="7" t="inlineStr">
        <is>
          <t>moyenne</t>
        </is>
      </c>
      <c r="AO188" s="7" t="inlineStr">
        <is>
          <t>1</t>
        </is>
      </c>
      <c r="AP188" s="7" t="inlineStr">
        <is>
          <t>Décideurs PME/ETI</t>
        </is>
      </c>
      <c r="AQ188" s="7" t="inlineStr">
        <is>
          <t>constaté</t>
        </is>
      </c>
      <c r="AR188" s="12" t="inlineStr"/>
      <c r="AS188" s="7" t="inlineStr">
        <is>
          <t>2</t>
        </is>
      </c>
      <c r="AT188" s="7" t="inlineStr">
        <is>
          <t>Moyen</t>
        </is>
      </c>
      <c r="AU188" s="7" t="inlineStr">
        <is>
          <t>constaté</t>
        </is>
      </c>
      <c r="AV188" s="12" t="inlineStr"/>
      <c r="AW188" s="7" t="inlineStr">
        <is>
          <t>S:16|4 L:10 N:4 P:1 A:2</t>
        </is>
      </c>
    </row>
    <row r="189">
      <c r="A189" s="10" t="inlineStr">
        <is>
          <t>Video-Digest 2026</t>
        </is>
      </c>
      <c r="B189" s="10" t="inlineStr">
        <is>
          <t>non identifié publiquement</t>
        </is>
      </c>
      <c r="C189" s="10" t="inlineStr">
        <is>
          <t>2026-11-18</t>
        </is>
      </c>
      <c r="D189" s="10" t="inlineStr">
        <is>
          <t>2026-11-20</t>
        </is>
      </c>
      <c r="E189" s="10" t="inlineStr"/>
      <c r="F189" s="10" t="inlineStr">
        <is>
          <t>annuel</t>
        </is>
      </c>
      <c r="G189" s="10" t="inlineStr">
        <is>
          <t>Palais des Congres de Paris (Porte Maillot)</t>
        </is>
      </c>
      <c r="H189" s="10" t="inlineStr">
        <is>
          <t>Paris 17e</t>
        </is>
      </c>
      <c r="I189" s="10" t="inlineStr">
        <is>
          <t>75</t>
        </is>
      </c>
      <c r="J189" s="10" t="inlineStr">
        <is>
          <t>présentiel</t>
        </is>
      </c>
      <c r="K189" s="11" t="inlineStr">
        <is>
          <t>Congres d'endoscopie digestive.</t>
        </is>
      </c>
      <c r="L189" s="11" t="inlineStr">
        <is>
          <t>non identifié publiquement</t>
        </is>
      </c>
      <c r="M189" s="10" t="inlineStr">
        <is>
          <t>Sante, gastro-enterologie, endoscopie</t>
        </is>
      </c>
      <c r="N189" s="10" t="inlineStr">
        <is>
          <t>non identifié publiquement</t>
        </is>
      </c>
      <c r="O189" s="10" t="inlineStr">
        <is>
          <t>non identifié publiquement</t>
        </is>
      </c>
      <c r="P189" s="10" t="inlineStr"/>
      <c r="Q189" s="11" t="inlineStr"/>
      <c r="R189" s="10" t="inlineStr">
        <is>
          <t>billet payant</t>
        </is>
      </c>
      <c r="S189" s="10" t="inlineStr">
        <is>
          <t>oui</t>
        </is>
      </c>
      <c r="T189" s="11" t="inlineStr">
        <is>
          <t>Congres reserve aux professionnels de sante</t>
        </is>
      </c>
      <c r="U189" s="10" t="inlineStr">
        <is>
          <t>non identifié publiquement</t>
        </is>
      </c>
      <c r="V189" s="10" t="inlineStr">
        <is>
          <t>https://www.viparis.com/actualites-evenements/evenements/video-digest</t>
        </is>
      </c>
      <c r="W189" s="10" t="inlineStr">
        <is>
          <t>2026-09-15</t>
        </is>
      </c>
      <c r="X189" s="11" t="inlineStr">
        <is>
          <t>Identifie via l'agenda du lieu (Viparis). Organisateur non identifie publiquement au 15/09/2026.</t>
        </is>
      </c>
      <c r="Y189" s="7" t="inlineStr">
        <is>
          <t>7</t>
        </is>
      </c>
      <c r="Z189" s="7" t="inlineStr">
        <is>
          <t>Santé / Pharma / Biotech / Medtech</t>
        </is>
      </c>
      <c r="AA189" s="7" t="inlineStr"/>
      <c r="AB189" s="7" t="inlineStr"/>
      <c r="AC189" s="7" t="inlineStr"/>
      <c r="AD189" s="7" t="inlineStr">
        <is>
          <t>2</t>
        </is>
      </c>
      <c r="AE189" s="7" t="inlineStr">
        <is>
          <t>0</t>
        </is>
      </c>
      <c r="AF189" s="7" t="inlineStr">
        <is>
          <t>Générique / Multi-éditeurs / Sans dominante</t>
        </is>
      </c>
      <c r="AG189" s="8" t="inlineStr">
        <is>
          <t>estimé</t>
        </is>
      </c>
      <c r="AH189" s="12" t="inlineStr">
        <is>
          <t>Aucune dimension logicielle dans le positionnement de l'organisateur : rattache au 0 (sans dominante) plutot que laisse vide, conformement a la demande de non-vide</t>
        </is>
      </c>
      <c r="AI189" s="7" t="inlineStr">
        <is>
          <t>6</t>
        </is>
      </c>
      <c r="AJ189" s="7" t="inlineStr">
        <is>
          <t>&gt;2000</t>
        </is>
      </c>
      <c r="AK189" s="8" t="inlineStr">
        <is>
          <t>estimé</t>
        </is>
      </c>
      <c r="AL189" s="7" t="inlineStr">
        <is>
          <t>estimation : 1000 a 6000 participants</t>
        </is>
      </c>
      <c r="AM189" s="11" t="inlineStr">
        <is>
          <t>Modele de format (congres de societe savante), fourchette 1000-6000, plafonnee par la capacite du lieu (Palais des Congres de Paris (Porte Maill ~ 10000)</t>
        </is>
      </c>
      <c r="AN189" s="7" t="inlineStr">
        <is>
          <t>moyenne</t>
        </is>
      </c>
      <c r="AO189" s="7" t="inlineStr">
        <is>
          <t>7</t>
        </is>
      </c>
      <c r="AP189" s="7" t="inlineStr">
        <is>
          <t>Experts / Advisors / Associations professionnelles</t>
        </is>
      </c>
      <c r="AQ189" s="8" t="inlineStr">
        <is>
          <t>estimé</t>
        </is>
      </c>
      <c r="AR189" s="12" t="inlineStr">
        <is>
          <t>Congres de societe savante ou d'association professionnelle du secteur sante</t>
        </is>
      </c>
      <c r="AS189" s="7" t="inlineStr">
        <is>
          <t>2</t>
        </is>
      </c>
      <c r="AT189" s="7" t="inlineStr">
        <is>
          <t>Moyen</t>
        </is>
      </c>
      <c r="AU189" s="7" t="inlineStr">
        <is>
          <t>constaté</t>
        </is>
      </c>
      <c r="AV189" s="12" t="inlineStr"/>
      <c r="AW189" s="7" t="inlineStr">
        <is>
          <t>S:7 L:0 N:6 P:7 A:2</t>
        </is>
      </c>
    </row>
    <row r="190">
      <c r="A190" s="10" t="inlineStr">
        <is>
          <t>Conference Compliance ACE x AFJE 2026</t>
        </is>
      </c>
      <c r="B190" s="10" t="inlineStr">
        <is>
          <t>ACE - Avocats, Ensemble et AFJE - Association Francaise des Juristes d'Entreprise</t>
        </is>
      </c>
      <c r="C190" s="10" t="inlineStr">
        <is>
          <t>2026-11-19</t>
        </is>
      </c>
      <c r="D190" s="10" t="inlineStr"/>
      <c r="E190" s="10" t="inlineStr"/>
      <c r="F190" s="10" t="inlineStr">
        <is>
          <t>annuel</t>
        </is>
      </c>
      <c r="G190" s="10" t="inlineStr">
        <is>
          <t>non identifié publiquement</t>
        </is>
      </c>
      <c r="H190" s="10" t="inlineStr">
        <is>
          <t>Paris (arrondissement non communique)</t>
        </is>
      </c>
      <c r="I190" s="10" t="inlineStr">
        <is>
          <t>75</t>
        </is>
      </c>
      <c r="J190" s="10" t="inlineStr">
        <is>
          <t>présentiel</t>
        </is>
      </c>
      <c r="K190" s="11" t="inlineStr">
        <is>
          <t>Journee de reflexion et de formation sur les enjeux strategiques de la conformite : 'Conformite, 10 ans apres la loi Sapin II, quels nouveaux defis pour les entreprises ?'</t>
        </is>
      </c>
      <c r="L190" s="11" t="inlineStr">
        <is>
          <t>avocats et juristes d'entreprise</t>
        </is>
      </c>
      <c r="M190" s="10" t="inlineStr">
        <is>
          <t>Juridique, conformite, compliance</t>
        </is>
      </c>
      <c r="N190" s="10" t="inlineStr">
        <is>
          <t>non identifié publiquement</t>
        </is>
      </c>
      <c r="O190" s="10" t="inlineStr">
        <is>
          <t>non identifié publiquement</t>
        </is>
      </c>
      <c r="P190" s="10" t="inlineStr"/>
      <c r="Q190" s="11" t="inlineStr"/>
      <c r="R190" s="10" t="inlineStr">
        <is>
          <t>non identifié publiquement</t>
        </is>
      </c>
      <c r="S190" s="10" t="inlineStr">
        <is>
          <t>oui</t>
        </is>
      </c>
      <c r="T190" s="11" t="inlineStr">
        <is>
          <t>Evenement co-organise par deux associations professionnelles du droit (avocats et juristes d'entreprise)</t>
        </is>
      </c>
      <c r="U190" s="10" t="inlineStr">
        <is>
          <t>non identifié publiquement</t>
        </is>
      </c>
      <c r="V190" s="10" t="inlineStr">
        <is>
          <t>https://www.village-justice.com/articles/grands-evenements-juridiques-droit</t>
        </is>
      </c>
      <c r="W190" s="10" t="inlineStr">
        <is>
          <t>2026-09-15</t>
        </is>
      </c>
      <c r="X190" s="11" t="inlineStr">
        <is>
          <t>Programme detaille non publie au 15/09/2026 selon l'organisateur. Lieu annonce 'Paris' sans adresse. Les directions juridiques de PME/ETI sont un point d'entree pertinent pour l'IA documentaire.</t>
        </is>
      </c>
      <c r="Y190" s="7" t="inlineStr">
        <is>
          <t>9</t>
        </is>
      </c>
      <c r="Z190" s="7" t="inlineStr">
        <is>
          <t>Services professionnels / Conseil / Juridique / Comptabilité</t>
        </is>
      </c>
      <c r="AA190" s="7" t="inlineStr"/>
      <c r="AB190" s="7" t="inlineStr"/>
      <c r="AC190" s="7" t="inlineStr">
        <is>
          <t>4</t>
        </is>
      </c>
      <c r="AD190" s="7" t="inlineStr"/>
      <c r="AE190" s="7" t="inlineStr">
        <is>
          <t>0</t>
        </is>
      </c>
      <c r="AF190" s="7" t="inlineStr">
        <is>
          <t>Générique / Multi-éditeurs / Sans dominante</t>
        </is>
      </c>
      <c r="AG190" s="8" t="inlineStr">
        <is>
          <t>estimé</t>
        </is>
      </c>
      <c r="AH190" s="12" t="inlineStr">
        <is>
          <t>Aucune dimension logicielle dans le positionnement de l'organisateur : rattache au 0 (sans dominante) plutot que laisse vide, conformement a la demande de non-vide</t>
        </is>
      </c>
      <c r="AI190" s="7" t="inlineStr">
        <is>
          <t>4</t>
        </is>
      </c>
      <c r="AJ190" s="7" t="inlineStr">
        <is>
          <t>121-400</t>
        </is>
      </c>
      <c r="AK190" s="8" t="inlineStr">
        <is>
          <t>estimé</t>
        </is>
      </c>
      <c r="AL190" s="7" t="inlineStr">
        <is>
          <t>estimation : 150 a 600 participants</t>
        </is>
      </c>
      <c r="AM190" s="11" t="inlineStr">
        <is>
          <t>Modele de format (colloque ou journee thematique), fourchette 150-600</t>
        </is>
      </c>
      <c r="AN190" s="7" t="inlineStr">
        <is>
          <t>moyenne</t>
        </is>
      </c>
      <c r="AO190" s="7" t="inlineStr">
        <is>
          <t>4</t>
        </is>
      </c>
      <c r="AP190" s="7" t="inlineStr">
        <is>
          <t>Partenaires / Prescripteurs / Consultants / Intégrateurs</t>
        </is>
      </c>
      <c r="AQ190" s="7" t="inlineStr">
        <is>
          <t>constaté</t>
        </is>
      </c>
      <c r="AR190" s="12" t="inlineStr"/>
      <c r="AS190" s="7" t="inlineStr">
        <is>
          <t>2</t>
        </is>
      </c>
      <c r="AT190" s="7" t="inlineStr">
        <is>
          <t>Moyen</t>
        </is>
      </c>
      <c r="AU190" s="8" t="inlineStr">
        <is>
          <t>estimé</t>
        </is>
      </c>
      <c r="AV190" s="12" t="inlineStr">
        <is>
          <t>Par defaut : aucun filtre par un tiers identifie, acces presume en vente libre (niveau 2 conservateur, cf. iteration n1)</t>
        </is>
      </c>
      <c r="AW190" s="7" t="inlineStr">
        <is>
          <t>S:9 L:0 N:4 P:4 A:2</t>
        </is>
      </c>
    </row>
    <row r="191">
      <c r="A191" s="10" t="inlineStr">
        <is>
          <t>Etats de la France 2026 (21e edition)</t>
        </is>
      </c>
      <c r="B191" s="10" t="inlineStr">
        <is>
          <t>Groupe AEF</t>
        </is>
      </c>
      <c r="C191" s="10" t="inlineStr">
        <is>
          <t>2026-11-19</t>
        </is>
      </c>
      <c r="D191" s="10" t="inlineStr"/>
      <c r="E191" s="10" t="inlineStr"/>
      <c r="F191" s="10" t="inlineStr">
        <is>
          <t>annuel</t>
        </is>
      </c>
      <c r="G191" s="10" t="inlineStr">
        <is>
          <t>Maison de la Chimie</t>
        </is>
      </c>
      <c r="H191" s="10" t="inlineStr">
        <is>
          <t>Paris 7e</t>
        </is>
      </c>
      <c r="I191" s="10" t="inlineStr">
        <is>
          <t>75</t>
        </is>
      </c>
      <c r="J191" s="10" t="inlineStr">
        <is>
          <t>présentiel</t>
        </is>
      </c>
      <c r="K191" s="11" t="inlineStr">
        <is>
          <t>Rendez-vous annuel des entreprises etrangeres implantees en France.</t>
        </is>
      </c>
      <c r="L191" s="11" t="inlineStr">
        <is>
          <t>entreprises etrangeres en France</t>
        </is>
      </c>
      <c r="M191" s="10" t="inlineStr">
        <is>
          <t>Attractivite, investissement international, tous secteurs</t>
        </is>
      </c>
      <c r="N191" s="10" t="inlineStr">
        <is>
          <t>non identifié publiquement</t>
        </is>
      </c>
      <c r="O191" s="10" t="inlineStr">
        <is>
          <t>non identifié publiquement</t>
        </is>
      </c>
      <c r="P191" s="10" t="inlineStr"/>
      <c r="Q191" s="11" t="inlineStr"/>
      <c r="R191" s="10" t="inlineStr">
        <is>
          <t>non identifié publiquement</t>
        </is>
      </c>
      <c r="S191" s="10" t="inlineStr">
        <is>
          <t>non</t>
        </is>
      </c>
      <c r="T191" s="11" t="inlineStr"/>
      <c r="U191" s="10" t="inlineStr">
        <is>
          <t>non identifié publiquement</t>
        </is>
      </c>
      <c r="V191" s="10" t="inlineStr">
        <is>
          <t>https://groupe-aef.fr/agenda/</t>
        </is>
      </c>
      <c r="W191" s="10" t="inlineStr">
        <is>
          <t>2026-09-15</t>
        </is>
      </c>
      <c r="X191" s="11" t="inlineStr">
        <is>
          <t>Identifie via l'agenda du Groupe AEF. Public de filiales francaises de groupes etrangers : profils de taille ETI frequents.</t>
        </is>
      </c>
      <c r="Y191" s="7" t="inlineStr">
        <is>
          <t>0</t>
        </is>
      </c>
      <c r="Z191" s="7" t="inlineStr">
        <is>
          <t>Générique / Transversal</t>
        </is>
      </c>
      <c r="AA191" s="7" t="inlineStr"/>
      <c r="AB191" s="7" t="inlineStr"/>
      <c r="AC191" s="7" t="inlineStr"/>
      <c r="AD191" s="7" t="inlineStr"/>
      <c r="AE191" s="7" t="inlineStr">
        <is>
          <t>0</t>
        </is>
      </c>
      <c r="AF191" s="7" t="inlineStr">
        <is>
          <t>Générique / Multi-éditeurs / Sans dominante</t>
        </is>
      </c>
      <c r="AG191" s="8" t="inlineStr">
        <is>
          <t>estimé</t>
        </is>
      </c>
      <c r="AH191" s="12" t="inlineStr">
        <is>
          <t>Aucune dimension logicielle dans le positionnement de l'organisateur : rattache au 0 (sans dominante) plutot que laisse vide, conformement a la demande de non-vide</t>
        </is>
      </c>
      <c r="AI191" s="7" t="inlineStr">
        <is>
          <t>5</t>
        </is>
      </c>
      <c r="AJ191" s="7" t="inlineStr">
        <is>
          <t>401-2000</t>
        </is>
      </c>
      <c r="AK191" s="8" t="inlineStr">
        <is>
          <t>estimé</t>
        </is>
      </c>
      <c r="AL191" s="7" t="inlineStr">
        <is>
          <t>estimation : 200 a 900 participants</t>
        </is>
      </c>
      <c r="AM191" s="11" t="inlineStr">
        <is>
          <t>Modele de format (conference organisee par un media professionnel), fourchette 200-900, plafonnee par la capacite du lieu (Maison de la Chimie ~ 1200)</t>
        </is>
      </c>
      <c r="AN191" s="7" t="inlineStr">
        <is>
          <t>moyenne</t>
        </is>
      </c>
      <c r="AO191" s="7" t="inlineStr">
        <is>
          <t>1</t>
        </is>
      </c>
      <c r="AP191" s="7" t="inlineStr">
        <is>
          <t>Décideurs PME/ETI</t>
        </is>
      </c>
      <c r="AQ191" s="8" t="inlineStr">
        <is>
          <t>estimé</t>
        </is>
      </c>
      <c r="AR191" s="12" t="inlineStr">
        <is>
          <t>Par defaut, evenement B2B francilien : decideurs PME/ETI</t>
        </is>
      </c>
      <c r="AS191" s="7" t="inlineStr">
        <is>
          <t>2</t>
        </is>
      </c>
      <c r="AT191" s="7" t="inlineStr">
        <is>
          <t>Moyen</t>
        </is>
      </c>
      <c r="AU191" s="8" t="inlineStr">
        <is>
          <t>estimé</t>
        </is>
      </c>
      <c r="AV191" s="12" t="inlineStr">
        <is>
          <t>Par defaut : aucun filtre par un tiers identifie, acces presume en vente libre (niveau 2 conservateur, cf. iteration n1)</t>
        </is>
      </c>
      <c r="AW191" s="7" t="inlineStr">
        <is>
          <t>S:0 L:0 N:5 P:1 A:2</t>
        </is>
      </c>
    </row>
    <row r="192">
      <c r="A192" s="10" t="inlineStr">
        <is>
          <t>Inmac Wstore Expo Paris 2026</t>
        </is>
      </c>
      <c r="B192" s="10" t="inlineStr">
        <is>
          <t>Inmac Wstore</t>
        </is>
      </c>
      <c r="C192" s="10" t="inlineStr">
        <is>
          <t>2026-11-19</t>
        </is>
      </c>
      <c r="D192" s="10" t="inlineStr"/>
      <c r="E192" s="10" t="inlineStr"/>
      <c r="F192" s="10" t="inlineStr">
        <is>
          <t>annuel</t>
        </is>
      </c>
      <c r="G192" s="10" t="inlineStr">
        <is>
          <t>Paris Event Center</t>
        </is>
      </c>
      <c r="H192" s="10" t="inlineStr">
        <is>
          <t>Paris 19e</t>
        </is>
      </c>
      <c r="I192" s="10" t="inlineStr">
        <is>
          <t>75</t>
        </is>
      </c>
      <c r="J192" s="10" t="inlineStr">
        <is>
          <t>présentiel</t>
        </is>
      </c>
      <c r="K192" s="11" t="inlineStr">
        <is>
          <t>Rendez-vous de la distribution informatique professionnelle organise par un distributeur IT B2B.</t>
        </is>
      </c>
      <c r="L192" s="11" t="inlineStr">
        <is>
          <t>Visitorat : ouvert au public (fiche CCI Paris Ile-de-France)</t>
        </is>
      </c>
      <c r="M192" s="10" t="inlineStr">
        <is>
          <t>Informatique, télécommunications, audiovisuel et multimédia</t>
        </is>
      </c>
      <c r="N192" s="10" t="inlineStr">
        <is>
          <t>Distribution IT, postes de travail, infrastructure, solutions logicielles partenaires</t>
        </is>
      </c>
      <c r="O192" s="10" t="inlineStr">
        <is>
          <t>non identifié publiquement</t>
        </is>
      </c>
      <c r="P192" s="10" t="inlineStr"/>
      <c r="Q192" s="11" t="inlineStr"/>
      <c r="R192" s="10" t="inlineStr">
        <is>
          <t>inscription libre</t>
        </is>
      </c>
      <c r="S192" s="10" t="inlineStr">
        <is>
          <t>non</t>
        </is>
      </c>
      <c r="T192" s="11" t="inlineStr"/>
      <c r="U192" s="10" t="inlineStr">
        <is>
          <t>non identifié publiquement</t>
        </is>
      </c>
      <c r="V192" s="10" t="inlineStr">
        <is>
          <t>https://www.inmac-wstore.com/</t>
        </is>
      </c>
      <c r="W192" s="10" t="inlineStr">
        <is>
          <t>2026-09-15</t>
        </is>
      </c>
      <c r="X192" s="11" t="inlineStr">
        <is>
          <t>Convention client d'un distributeur IT : egalement rattachable a la famille H. La fiche CCI le classe 'ouvert au public' mais le format est une convention B2B.</t>
        </is>
      </c>
      <c r="Y192" s="7" t="inlineStr">
        <is>
          <t>4</t>
        </is>
      </c>
      <c r="Z192" s="7" t="inlineStr">
        <is>
          <t>Tech / IT / Logiciels / Télécom</t>
        </is>
      </c>
      <c r="AA192" s="7" t="inlineStr">
        <is>
          <t>0</t>
        </is>
      </c>
      <c r="AB192" s="7" t="inlineStr"/>
      <c r="AC192" s="7" t="inlineStr">
        <is>
          <t>4</t>
        </is>
      </c>
      <c r="AD192" s="7" t="inlineStr">
        <is>
          <t>2</t>
        </is>
      </c>
      <c r="AE192" s="7" t="inlineStr">
        <is>
          <t>0</t>
        </is>
      </c>
      <c r="AF192" s="7" t="inlineStr">
        <is>
          <t>Générique / Multi-éditeurs / Sans dominante</t>
        </is>
      </c>
      <c r="AG192" s="7" t="inlineStr">
        <is>
          <t>déduit</t>
        </is>
      </c>
      <c r="AH192" s="12" t="inlineStr">
        <is>
          <t>Deduit du secteur (axe 1)</t>
        </is>
      </c>
      <c r="AI192" s="7" t="inlineStr">
        <is>
          <t>5</t>
        </is>
      </c>
      <c r="AJ192" s="7" t="inlineStr">
        <is>
          <t>401-2000</t>
        </is>
      </c>
      <c r="AK192" s="8" t="inlineStr">
        <is>
          <t>estimé</t>
        </is>
      </c>
      <c r="AL192" s="7" t="inlineStr">
        <is>
          <t>estimation : 300 a 1500 participants</t>
        </is>
      </c>
      <c r="AM192" s="11" t="inlineStr">
        <is>
          <t>Modele de format (convention client d'editeur ou d'integrateur), fourchette 300-1500, plafonnee par la capacite du lieu (Paris Event Center ~ 6000)</t>
        </is>
      </c>
      <c r="AN192" s="7" t="inlineStr">
        <is>
          <t>moyenne</t>
        </is>
      </c>
      <c r="AO192" s="7" t="inlineStr">
        <is>
          <t>4</t>
        </is>
      </c>
      <c r="AP192" s="7" t="inlineStr">
        <is>
          <t>Partenaires / Prescripteurs / Consultants / Intégrateurs</t>
        </is>
      </c>
      <c r="AQ192" s="7" t="inlineStr">
        <is>
          <t>constaté</t>
        </is>
      </c>
      <c r="AR192" s="12" t="inlineStr"/>
      <c r="AS192" s="7" t="inlineStr">
        <is>
          <t>2</t>
        </is>
      </c>
      <c r="AT192" s="7" t="inlineStr">
        <is>
          <t>Moyen</t>
        </is>
      </c>
      <c r="AU192" s="7" t="inlineStr">
        <is>
          <t>constaté</t>
        </is>
      </c>
      <c r="AV192" s="12" t="inlineStr"/>
      <c r="AW192" s="7" t="inlineStr">
        <is>
          <t>S:4 L:0 N:5 P:4 A:2</t>
        </is>
      </c>
    </row>
    <row r="193">
      <c r="A193" s="10" t="inlineStr">
        <is>
          <t>Bienvenue dans les Yvelines, votre RDV business</t>
        </is>
      </c>
      <c r="B193" s="10" t="inlineStr">
        <is>
          <t>CCI Paris Ile-de-France</t>
        </is>
      </c>
      <c r="C193" s="10" t="inlineStr">
        <is>
          <t>2026-11-20</t>
        </is>
      </c>
      <c r="D193" s="10" t="inlineStr"/>
      <c r="E193" s="10" t="inlineStr"/>
      <c r="F193" s="10" t="inlineStr">
        <is>
          <t>non identifié publiquement</t>
        </is>
      </c>
      <c r="G193" s="10" t="inlineStr">
        <is>
          <t>CCI Versailles-Yvelines, avenue de Paris</t>
        </is>
      </c>
      <c r="H193" s="10" t="inlineStr">
        <is>
          <t>Versailles</t>
        </is>
      </c>
      <c r="I193" s="10" t="inlineStr">
        <is>
          <t>78</t>
        </is>
      </c>
      <c r="J193" s="10" t="inlineStr">
        <is>
          <t>présentiel</t>
        </is>
      </c>
      <c r="K193" s="11" t="inlineStr">
        <is>
          <t>Rendez-vous d'affaires et de networking des entreprises yvelinoises.</t>
        </is>
      </c>
      <c r="L193" s="11" t="inlineStr">
        <is>
          <t>non identifié publiquement</t>
        </is>
      </c>
      <c r="M193" s="10" t="inlineStr">
        <is>
          <t>Networking territorial</t>
        </is>
      </c>
      <c r="N193" s="10" t="inlineStr">
        <is>
          <t>non identifié publiquement</t>
        </is>
      </c>
      <c r="O193" s="10" t="inlineStr">
        <is>
          <t>non identifié publiquement</t>
        </is>
      </c>
      <c r="P193" s="10" t="inlineStr"/>
      <c r="Q193" s="11" t="inlineStr"/>
      <c r="R193" s="10" t="inlineStr">
        <is>
          <t>inscription libre</t>
        </is>
      </c>
      <c r="S193" s="10" t="inlineStr">
        <is>
          <t>non</t>
        </is>
      </c>
      <c r="T193" s="11" t="inlineStr"/>
      <c r="U193" s="10" t="inlineStr">
        <is>
          <t>non identifié publiquement</t>
        </is>
      </c>
      <c r="V193" s="10" t="inlineStr">
        <is>
          <t>https://www.entreprises.cci-paris-idf.fr/evenements/bienvenue-dans-les-yvelines-votre-rdv-business</t>
        </is>
      </c>
      <c r="W193" s="10" t="inlineStr">
        <is>
          <t>2026-09-15</t>
        </is>
      </c>
      <c r="X193" s="11" t="inlineStr"/>
      <c r="Y193" s="7" t="inlineStr">
        <is>
          <t>13</t>
        </is>
      </c>
      <c r="Z193" s="7" t="inlineStr">
        <is>
          <t>Secteur public / Collectivités / Institutions</t>
        </is>
      </c>
      <c r="AA193" s="7" t="inlineStr"/>
      <c r="AB193" s="7" t="inlineStr"/>
      <c r="AC193" s="7" t="inlineStr">
        <is>
          <t>9</t>
        </is>
      </c>
      <c r="AD193" s="7" t="inlineStr">
        <is>
          <t>2</t>
        </is>
      </c>
      <c r="AE193" s="7" t="inlineStr">
        <is>
          <t>0</t>
        </is>
      </c>
      <c r="AF193" s="7" t="inlineStr">
        <is>
          <t>Générique / Multi-éditeurs / Sans dominante</t>
        </is>
      </c>
      <c r="AG193" s="8" t="inlineStr">
        <is>
          <t>estimé</t>
        </is>
      </c>
      <c r="AH193" s="12" t="inlineStr">
        <is>
          <t>Aucune dimension logicielle dans le positionnement de l'organisateur : rattache au 0 (sans dominante) plutot que laisse vide, conformement a la demande de non-vide</t>
        </is>
      </c>
      <c r="AI193" s="7" t="inlineStr">
        <is>
          <t>2</t>
        </is>
      </c>
      <c r="AJ193" s="7" t="inlineStr">
        <is>
          <t>16-40</t>
        </is>
      </c>
      <c r="AK193" s="8" t="inlineStr">
        <is>
          <t>estimé</t>
        </is>
      </c>
      <c r="AL193" s="7" t="inlineStr">
        <is>
          <t>estimation : 15 a 60 participants</t>
        </is>
      </c>
      <c r="AM193" s="11" t="inlineStr">
        <is>
          <t>Modele de format (rendez-vous de chambre de commerce (atelier ou conference)), fourchette 15-60, plafonnee par la capacite du lieu (CCI Versailles-Yvelines, avenue de Paris ~ 120)</t>
        </is>
      </c>
      <c r="AN193" s="7" t="inlineStr">
        <is>
          <t>moyenne</t>
        </is>
      </c>
      <c r="AO193" s="7" t="inlineStr">
        <is>
          <t>9</t>
        </is>
      </c>
      <c r="AP193" s="7" t="inlineStr">
        <is>
          <t>Institutionnels / Secteur public</t>
        </is>
      </c>
      <c r="AQ193" s="7" t="inlineStr">
        <is>
          <t>constaté</t>
        </is>
      </c>
      <c r="AR193" s="12" t="inlineStr"/>
      <c r="AS193" s="7" t="inlineStr">
        <is>
          <t>2</t>
        </is>
      </c>
      <c r="AT193" s="7" t="inlineStr">
        <is>
          <t>Moyen</t>
        </is>
      </c>
      <c r="AU193" s="7" t="inlineStr">
        <is>
          <t>constaté</t>
        </is>
      </c>
      <c r="AV193" s="12" t="inlineStr"/>
      <c r="AW193" s="7" t="inlineStr">
        <is>
          <t>S:13 L:0 N:2 P:9 A:2</t>
        </is>
      </c>
    </row>
    <row r="194">
      <c r="A194" s="10" t="inlineStr">
        <is>
          <t>InsurDay 2026</t>
        </is>
      </c>
      <c r="B194" s="10" t="inlineStr">
        <is>
          <t>Finance Innovation</t>
        </is>
      </c>
      <c r="C194" s="10" t="inlineStr">
        <is>
          <t>2026-11-20</t>
        </is>
      </c>
      <c r="D194" s="10" t="inlineStr"/>
      <c r="E194" s="10" t="inlineStr"/>
      <c r="F194" s="10" t="inlineStr">
        <is>
          <t>annuel</t>
        </is>
      </c>
      <c r="G194" s="10" t="inlineStr">
        <is>
          <t>Hotel le Marois, 9-11 avenue Franklin Delano Roosevelt</t>
        </is>
      </c>
      <c r="H194" s="10" t="inlineStr">
        <is>
          <t>Paris 8e</t>
        </is>
      </c>
      <c r="I194" s="10" t="inlineStr">
        <is>
          <t>75</t>
        </is>
      </c>
      <c r="J194" s="10" t="inlineStr">
        <is>
          <t>présentiel</t>
        </is>
      </c>
      <c r="K194" s="11" t="inlineStr">
        <is>
          <t>Evenement annuel de la filiere assurance et InsurTech du pole Finance Innovation.</t>
        </is>
      </c>
      <c r="L194" s="11" t="inlineStr">
        <is>
          <t>non identifié publiquement</t>
        </is>
      </c>
      <c r="M194" s="10" t="inlineStr">
        <is>
          <t>Assurance, InsurTech, finance</t>
        </is>
      </c>
      <c r="N194" s="10" t="inlineStr">
        <is>
          <t>InsurTech : technologies appliquees a l'assurance</t>
        </is>
      </c>
      <c r="O194" s="10" t="inlineStr">
        <is>
          <t>non identifié publiquement</t>
        </is>
      </c>
      <c r="P194" s="10" t="inlineStr"/>
      <c r="Q194" s="11" t="inlineStr"/>
      <c r="R194" s="10" t="inlineStr">
        <is>
          <t>inscription libre</t>
        </is>
      </c>
      <c r="S194" s="10" t="inlineStr">
        <is>
          <t>non</t>
        </is>
      </c>
      <c r="T194" s="11" t="inlineStr"/>
      <c r="U194" s="10" t="inlineStr">
        <is>
          <t>non identifié publiquement</t>
        </is>
      </c>
      <c r="V194" s="10" t="inlineStr">
        <is>
          <t>https://www.finance-innovation.org/insurday-2026/</t>
        </is>
      </c>
      <c r="W194" s="10" t="inlineStr">
        <is>
          <t>2026-09-15</t>
        </is>
      </c>
      <c r="X194" s="11" t="inlineStr">
        <is>
          <t>Horaires annonces : matinee et apres-midi. La fiche French Tech annonce le vendredi 20 novembre 2026 ; la vignette de l'agrégateur affichait le 19 novembre. Date de la fiche detaillee retenue, ecart signale.</t>
        </is>
      </c>
      <c r="Y194" s="7" t="inlineStr">
        <is>
          <t>8</t>
        </is>
      </c>
      <c r="Z194" s="7" t="inlineStr">
        <is>
          <t>Finance / Banque / Assurance</t>
        </is>
      </c>
      <c r="AA194" s="7" t="inlineStr"/>
      <c r="AB194" s="7" t="inlineStr"/>
      <c r="AC194" s="7" t="inlineStr"/>
      <c r="AD194" s="7" t="inlineStr">
        <is>
          <t>2</t>
        </is>
      </c>
      <c r="AE194" s="7" t="inlineStr">
        <is>
          <t>0</t>
        </is>
      </c>
      <c r="AF194" s="7" t="inlineStr">
        <is>
          <t>Générique / Multi-éditeurs / Sans dominante</t>
        </is>
      </c>
      <c r="AG194" s="8" t="inlineStr">
        <is>
          <t>estimé</t>
        </is>
      </c>
      <c r="AH194" s="12" t="inlineStr">
        <is>
          <t>Dimension logicielle plausible mais non documentee : rattache au 0 (sans dominante)</t>
        </is>
      </c>
      <c r="AI194" s="7" t="inlineStr">
        <is>
          <t>4</t>
        </is>
      </c>
      <c r="AJ194" s="7" t="inlineStr">
        <is>
          <t>121-400</t>
        </is>
      </c>
      <c r="AK194" s="8" t="inlineStr">
        <is>
          <t>estimé</t>
        </is>
      </c>
      <c r="AL194" s="7" t="inlineStr">
        <is>
          <t>estimation : 200 a 600 participants</t>
        </is>
      </c>
      <c r="AM194" s="11" t="inlineStr">
        <is>
          <t>Modele de format (conference technique ou sectorielle), fourchette 200-600, plafonnee par la capacite du lieu (Hotel le Marois, 9-11 avenue Franklin De ~ 600)</t>
        </is>
      </c>
      <c r="AN194" s="7" t="inlineStr">
        <is>
          <t>moyenne</t>
        </is>
      </c>
      <c r="AO194" s="7" t="inlineStr">
        <is>
          <t>5|6</t>
        </is>
      </c>
      <c r="AP194" s="7" t="inlineStr">
        <is>
          <t>Pairs / Concurrents / Acteurs de l'offre + Investisseurs / Écosystème financement</t>
        </is>
      </c>
      <c r="AQ194" s="8" t="inlineStr">
        <is>
          <t>estimé</t>
        </is>
      </c>
      <c r="AR194" s="12" t="inlineStr">
        <is>
          <t>Evenement d'ecosysteme startup : acteurs de l'offre et investisseurs</t>
        </is>
      </c>
      <c r="AS194" s="7" t="inlineStr">
        <is>
          <t>2</t>
        </is>
      </c>
      <c r="AT194" s="7" t="inlineStr">
        <is>
          <t>Moyen</t>
        </is>
      </c>
      <c r="AU194" s="7" t="inlineStr">
        <is>
          <t>constaté</t>
        </is>
      </c>
      <c r="AV194" s="12" t="inlineStr"/>
      <c r="AW194" s="7" t="inlineStr">
        <is>
          <t>S:8 L:0 N:4 P:5|6 A:2</t>
        </is>
      </c>
    </row>
    <row r="195">
      <c r="A195" s="10" t="inlineStr">
        <is>
          <t>Esprit Meuble 2026</t>
        </is>
      </c>
      <c r="B195" s="10" t="inlineStr">
        <is>
          <t>non identifié publiquement</t>
        </is>
      </c>
      <c r="C195" s="10" t="inlineStr">
        <is>
          <t>2026-11-21</t>
        </is>
      </c>
      <c r="D195" s="10" t="inlineStr">
        <is>
          <t>2026-11-24</t>
        </is>
      </c>
      <c r="E195" s="10" t="inlineStr"/>
      <c r="F195" s="10" t="inlineStr">
        <is>
          <t>annuel</t>
        </is>
      </c>
      <c r="G195" s="10" t="inlineStr">
        <is>
          <t>Paris Expo Porte de Versailles</t>
        </is>
      </c>
      <c r="H195" s="10" t="inlineStr">
        <is>
          <t>Paris 15e</t>
        </is>
      </c>
      <c r="I195" s="10" t="inlineStr">
        <is>
          <t>75</t>
        </is>
      </c>
      <c r="J195" s="10" t="inlineStr">
        <is>
          <t>présentiel</t>
        </is>
      </c>
      <c r="K195" s="11" t="inlineStr">
        <is>
          <t>Le salon en France dédié à l'ameublement domestique</t>
        </is>
      </c>
      <c r="L195" s="11" t="inlineStr">
        <is>
          <t>Visitorat : réservé aux professionnels (fiche CCI Paris Ile-de-France)</t>
        </is>
      </c>
      <c r="M195" s="10" t="inlineStr">
        <is>
          <t>Habitat, aménagement de la maison, du bureau, décoration, cadeaux et artisanat</t>
        </is>
      </c>
      <c r="N195" s="10" t="inlineStr">
        <is>
          <t>non identifié publiquement</t>
        </is>
      </c>
      <c r="O195" s="10" t="inlineStr">
        <is>
          <t>non identifié publiquement</t>
        </is>
      </c>
      <c r="P195" s="10" t="inlineStr">
        <is>
          <t>CONFIRME</t>
        </is>
      </c>
      <c r="Q195" s="11" t="inlineStr">
        <is>
          <t>Objectifs annonces par l'organisateur pour l'edition 2026, relayes par Cuisines et Bains Magazine</t>
        </is>
      </c>
      <c r="R195" s="10" t="inlineStr">
        <is>
          <t>inscription libre</t>
        </is>
      </c>
      <c r="S195" s="10" t="inlineStr">
        <is>
          <t>oui</t>
        </is>
      </c>
      <c r="T195" s="11" t="inlineStr">
        <is>
          <t>Salon reserve aux professionnels de l'ameublement (distributeurs, acheteurs)</t>
        </is>
      </c>
      <c r="U195" s="10" t="inlineStr">
        <is>
          <t>non identifié publiquement</t>
        </is>
      </c>
      <c r="V195" s="10" t="inlineStr">
        <is>
          <t>https://www.cci-paris-idf.fr/fr/evenements-salons/salons-foires-paris-ile-de-france/espritmeuble</t>
        </is>
      </c>
      <c r="W195" s="10" t="inlineStr">
        <is>
          <t>2026-09-15</t>
        </is>
      </c>
      <c r="X195" s="11" t="inlineStr"/>
      <c r="Y195" s="7" t="inlineStr">
        <is>
          <t>2</t>
        </is>
      </c>
      <c r="Z195" s="7" t="inlineStr">
        <is>
          <t>Immobilier / Construction / BTP</t>
        </is>
      </c>
      <c r="AA195" s="7" t="inlineStr"/>
      <c r="AB195" s="7" t="inlineStr"/>
      <c r="AC195" s="7" t="inlineStr">
        <is>
          <t>3</t>
        </is>
      </c>
      <c r="AD195" s="7" t="inlineStr">
        <is>
          <t>2</t>
        </is>
      </c>
      <c r="AE195" s="7" t="inlineStr">
        <is>
          <t>0</t>
        </is>
      </c>
      <c r="AF195" s="7" t="inlineStr">
        <is>
          <t>Générique / Multi-éditeurs / Sans dominante</t>
        </is>
      </c>
      <c r="AG195" s="8" t="inlineStr">
        <is>
          <t>estimé</t>
        </is>
      </c>
      <c r="AH195" s="12" t="inlineStr">
        <is>
          <t>Aucune dimension logicielle dans le positionnement de l'organisateur : rattache au 0 (sans dominante) plutot que laisse vide, conformement a la demande de non-vide</t>
        </is>
      </c>
      <c r="AI195" s="7" t="inlineStr">
        <is>
          <t>6</t>
        </is>
      </c>
      <c r="AJ195" s="7" t="inlineStr">
        <is>
          <t>&gt;2000</t>
        </is>
      </c>
      <c r="AK195" s="7" t="inlineStr">
        <is>
          <t>constaté</t>
        </is>
      </c>
      <c r="AL195" s="7" t="inlineStr">
        <is>
          <t>objectif 400 marques et 12 000 visiteurs sur 45 000 m2</t>
        </is>
      </c>
      <c r="AM195" s="11" t="inlineStr">
        <is>
          <t>Objectifs annonces par l'organisateur pour l'edition 2026, relayes par Cuisines et Bains Magazine</t>
        </is>
      </c>
      <c r="AN195" s="7" t="inlineStr">
        <is>
          <t>haute</t>
        </is>
      </c>
      <c r="AO195" s="7" t="inlineStr">
        <is>
          <t>3</t>
        </is>
      </c>
      <c r="AP195" s="7" t="inlineStr">
        <is>
          <t>Opérationnels / Utilisateurs métier</t>
        </is>
      </c>
      <c r="AQ195" s="7" t="inlineStr">
        <is>
          <t>constaté</t>
        </is>
      </c>
      <c r="AR195" s="12" t="inlineStr"/>
      <c r="AS195" s="7" t="inlineStr">
        <is>
          <t>2</t>
        </is>
      </c>
      <c r="AT195" s="7" t="inlineStr">
        <is>
          <t>Moyen</t>
        </is>
      </c>
      <c r="AU195" s="7" t="inlineStr">
        <is>
          <t>constaté</t>
        </is>
      </c>
      <c r="AV195" s="12" t="inlineStr"/>
      <c r="AW195" s="7" t="inlineStr">
        <is>
          <t>S:2 L:0 N:6 P:3 A:2</t>
        </is>
      </c>
    </row>
    <row r="196">
      <c r="A196" s="10" t="inlineStr">
        <is>
          <t>Salon / Congres national de l'orthopedie-orthese 2026</t>
        </is>
      </c>
      <c r="B196" s="10" t="inlineStr">
        <is>
          <t>SNOF</t>
        </is>
      </c>
      <c r="C196" s="10" t="inlineStr">
        <is>
          <t>2026-11-22</t>
        </is>
      </c>
      <c r="D196" s="10" t="inlineStr">
        <is>
          <t>2026-11-23</t>
        </is>
      </c>
      <c r="E196" s="10" t="inlineStr"/>
      <c r="F196" s="10" t="inlineStr">
        <is>
          <t>annuel</t>
        </is>
      </c>
      <c r="G196" s="10" t="inlineStr">
        <is>
          <t>Espace Charenton</t>
        </is>
      </c>
      <c r="H196" s="10" t="inlineStr">
        <is>
          <t>Paris 12e</t>
        </is>
      </c>
      <c r="I196" s="10" t="inlineStr">
        <is>
          <t>75</t>
        </is>
      </c>
      <c r="J196" s="10" t="inlineStr">
        <is>
          <t>présentiel</t>
        </is>
      </c>
      <c r="K196" s="11" t="inlineStr">
        <is>
          <t>Congrès/salon dédié aux spécialistes de l'orthopédie-orthèse</t>
        </is>
      </c>
      <c r="L196" s="11" t="inlineStr">
        <is>
          <t>Visitorat : réservé aux professionnels (fiche CCI Paris Ile-de-France)</t>
        </is>
      </c>
      <c r="M196" s="10" t="inlineStr">
        <is>
          <t>Santé, médecine, pharmacie, biotechnologies et équipements</t>
        </is>
      </c>
      <c r="N196" s="10" t="inlineStr">
        <is>
          <t>non identifié publiquement</t>
        </is>
      </c>
      <c r="O196" s="10" t="inlineStr">
        <is>
          <t>non identifié publiquement</t>
        </is>
      </c>
      <c r="P196" s="10" t="inlineStr"/>
      <c r="Q196" s="11" t="inlineStr"/>
      <c r="R196" s="10" t="inlineStr">
        <is>
          <t>billet payant</t>
        </is>
      </c>
      <c r="S196" s="10" t="inlineStr">
        <is>
          <t>oui</t>
        </is>
      </c>
      <c r="T196" s="11" t="inlineStr">
        <is>
          <t>Congres reserve aux professionnels de l'orthopedie-orthese</t>
        </is>
      </c>
      <c r="U196" s="10" t="inlineStr">
        <is>
          <t>non identifié publiquement</t>
        </is>
      </c>
      <c r="V196" s="10" t="inlineStr">
        <is>
          <t>https://www.cci-paris-idf.fr/fr/evenements-salons/salons-foires-paris-ile-de-france/salon-congres-national-de-lorthopedie-orthese</t>
        </is>
      </c>
      <c r="W196" s="10" t="inlineStr">
        <is>
          <t>2026-09-15</t>
        </is>
      </c>
      <c r="X196" s="11" t="inlineStr"/>
      <c r="Y196" s="7" t="inlineStr">
        <is>
          <t>7</t>
        </is>
      </c>
      <c r="Z196" s="7" t="inlineStr">
        <is>
          <t>Santé / Pharma / Biotech / Medtech</t>
        </is>
      </c>
      <c r="AA196" s="7" t="inlineStr"/>
      <c r="AB196" s="7" t="inlineStr"/>
      <c r="AC196" s="7" t="inlineStr">
        <is>
          <t>7</t>
        </is>
      </c>
      <c r="AD196" s="7" t="inlineStr">
        <is>
          <t>2</t>
        </is>
      </c>
      <c r="AE196" s="7" t="inlineStr">
        <is>
          <t>0</t>
        </is>
      </c>
      <c r="AF196" s="7" t="inlineStr">
        <is>
          <t>Générique / Multi-éditeurs / Sans dominante</t>
        </is>
      </c>
      <c r="AG196" s="8" t="inlineStr">
        <is>
          <t>estimé</t>
        </is>
      </c>
      <c r="AH196" s="12" t="inlineStr">
        <is>
          <t>Aucune dimension logicielle dans le positionnement de l'organisateur : rattache au 0 (sans dominante) plutot que laisse vide, conformement a la demande de non-vide</t>
        </is>
      </c>
      <c r="AI196" s="7" t="inlineStr">
        <is>
          <t>5</t>
        </is>
      </c>
      <c r="AJ196" s="7" t="inlineStr">
        <is>
          <t>401-2000</t>
        </is>
      </c>
      <c r="AK196" s="8" t="inlineStr">
        <is>
          <t>estimé</t>
        </is>
      </c>
      <c r="AL196" s="7" t="inlineStr">
        <is>
          <t>estimation : 1000 a 2500 participants</t>
        </is>
      </c>
      <c r="AM196" s="11" t="inlineStr">
        <is>
          <t>Modele de format (congres de societe savante), fourchette 1000-2500, plafonnee par la capacite du lieu (Espace Charenton ~ 2500)</t>
        </is>
      </c>
      <c r="AN196" s="7" t="inlineStr">
        <is>
          <t>moyenne</t>
        </is>
      </c>
      <c r="AO196" s="7" t="inlineStr">
        <is>
          <t>7</t>
        </is>
      </c>
      <c r="AP196" s="7" t="inlineStr">
        <is>
          <t>Experts / Advisors / Associations professionnelles</t>
        </is>
      </c>
      <c r="AQ196" s="7" t="inlineStr">
        <is>
          <t>constaté</t>
        </is>
      </c>
      <c r="AR196" s="12" t="inlineStr"/>
      <c r="AS196" s="7" t="inlineStr">
        <is>
          <t>2</t>
        </is>
      </c>
      <c r="AT196" s="7" t="inlineStr">
        <is>
          <t>Moyen</t>
        </is>
      </c>
      <c r="AU196" s="7" t="inlineStr">
        <is>
          <t>constaté</t>
        </is>
      </c>
      <c r="AV196" s="12" t="inlineStr"/>
      <c r="AW196" s="7" t="inlineStr">
        <is>
          <t>S:7 L:0 N:5 P:7 A:2</t>
        </is>
      </c>
    </row>
    <row r="197">
      <c r="A197" s="10" t="inlineStr">
        <is>
          <t>Conference annuelle IFACI 2026</t>
        </is>
      </c>
      <c r="B197" s="10" t="inlineStr">
        <is>
          <t>IFACI - Institut Francais de l'Audit et du Controle Internes</t>
        </is>
      </c>
      <c r="C197" s="10" t="inlineStr">
        <is>
          <t>2026-11-23</t>
        </is>
      </c>
      <c r="D197" s="10" t="inlineStr">
        <is>
          <t>2026-11-24</t>
        </is>
      </c>
      <c r="E197" s="10" t="inlineStr"/>
      <c r="F197" s="10" t="inlineStr">
        <is>
          <t>annuel</t>
        </is>
      </c>
      <c r="G197" s="10" t="inlineStr">
        <is>
          <t>CNIT Forest - Paris La Defense</t>
        </is>
      </c>
      <c r="H197" s="10" t="inlineStr">
        <is>
          <t>Puteaux</t>
        </is>
      </c>
      <c r="I197" s="10" t="inlineStr">
        <is>
          <t>92</t>
        </is>
      </c>
      <c r="J197" s="10" t="inlineStr">
        <is>
          <t>présentiel</t>
        </is>
      </c>
      <c r="K197" s="11" t="inlineStr">
        <is>
          <t>Conference annuelle de l'audit interne. Theme 2026 : 'Nouveaux reperes : eclairer pour decider et agir', dans le prolongement de l'etude Risk in Focus 2026/2027.</t>
        </is>
      </c>
      <c r="L197" s="11" t="inlineStr">
        <is>
          <t>directeurs et responsables de l'audit interne, du controle interne et de la gestion des risques</t>
        </is>
      </c>
      <c r="M197" s="10" t="inlineStr">
        <is>
          <t>Audit interne, controle interne, gestion des risques, conformite</t>
        </is>
      </c>
      <c r="N197" s="10" t="inlineStr">
        <is>
          <t>Risques IA et cyber (identifies par l'etude Risk in Focus 2026/2027 comme risques critiques)</t>
        </is>
      </c>
      <c r="O197" s="10" t="inlineStr">
        <is>
          <t>non identifié publiquement</t>
        </is>
      </c>
      <c r="P197" s="10" t="inlineStr"/>
      <c r="Q197" s="11" t="inlineStr"/>
      <c r="R197" s="10" t="inlineStr">
        <is>
          <t>billet payant</t>
        </is>
      </c>
      <c r="S197" s="10" t="inlineStr">
        <is>
          <t>oui</t>
        </is>
      </c>
      <c r="T197" s="11" t="inlineStr">
        <is>
          <t>Conference orientee membres et professionnels de l'audit et du controle internes</t>
        </is>
      </c>
      <c r="U197" s="10" t="inlineStr">
        <is>
          <t>non identifié publiquement</t>
        </is>
      </c>
      <c r="V197" s="10" t="inlineStr">
        <is>
          <t>https://www.ifaci.com/conference/</t>
        </is>
      </c>
      <c r="W197" s="10" t="inlineStr">
        <is>
          <t>2026-09-15</t>
        </is>
      </c>
      <c r="X197" s="11" t="inlineStr">
        <is>
          <t>Programme : conferences plenieres, masterclasses, ateliers et retours d'experience. L'IA figure parmi les risques critiques identifies par l'etude de reference.</t>
        </is>
      </c>
      <c r="Y197" s="7" t="inlineStr">
        <is>
          <t>9</t>
        </is>
      </c>
      <c r="Z197" s="7" t="inlineStr">
        <is>
          <t>Services professionnels / Conseil / Juridique / Comptabilité</t>
        </is>
      </c>
      <c r="AA197" s="7" t="inlineStr">
        <is>
          <t>10</t>
        </is>
      </c>
      <c r="AB197" s="7" t="inlineStr"/>
      <c r="AC197" s="7" t="inlineStr">
        <is>
          <t>1</t>
        </is>
      </c>
      <c r="AD197" s="7" t="inlineStr">
        <is>
          <t>2</t>
        </is>
      </c>
      <c r="AE197" s="7" t="inlineStr">
        <is>
          <t>10</t>
        </is>
      </c>
      <c r="AF197" s="7" t="inlineStr">
        <is>
          <t>Cybersécurité</t>
        </is>
      </c>
      <c r="AG197" s="7" t="inlineStr">
        <is>
          <t>constaté</t>
        </is>
      </c>
      <c r="AH197" s="12" t="inlineStr"/>
      <c r="AI197" s="7" t="inlineStr">
        <is>
          <t>4</t>
        </is>
      </c>
      <c r="AJ197" s="7" t="inlineStr">
        <is>
          <t>121-400</t>
        </is>
      </c>
      <c r="AK197" s="8" t="inlineStr">
        <is>
          <t>estimé</t>
        </is>
      </c>
      <c r="AL197" s="7" t="inlineStr">
        <is>
          <t>estimation : 200 a 800 participants</t>
        </is>
      </c>
      <c r="AM197" s="11" t="inlineStr">
        <is>
          <t>Modele de format (conference technique ou sectorielle), fourchette 200-800, plafonnee par la capacite du lieu (CNIT Forest - Paris La Defense ~ 2500)</t>
        </is>
      </c>
      <c r="AN197" s="7" t="inlineStr">
        <is>
          <t>moyenne</t>
        </is>
      </c>
      <c r="AO197" s="7" t="inlineStr">
        <is>
          <t>1</t>
        </is>
      </c>
      <c r="AP197" s="7" t="inlineStr">
        <is>
          <t>Décideurs PME/ETI</t>
        </is>
      </c>
      <c r="AQ197" s="7" t="inlineStr">
        <is>
          <t>constaté</t>
        </is>
      </c>
      <c r="AR197" s="12" t="inlineStr"/>
      <c r="AS197" s="7" t="inlineStr">
        <is>
          <t>2</t>
        </is>
      </c>
      <c r="AT197" s="7" t="inlineStr">
        <is>
          <t>Moyen</t>
        </is>
      </c>
      <c r="AU197" s="7" t="inlineStr">
        <is>
          <t>constaté</t>
        </is>
      </c>
      <c r="AV197" s="12" t="inlineStr"/>
      <c r="AW197" s="7" t="inlineStr">
        <is>
          <t>S:9 L:10 N:4 P:1 A:2</t>
        </is>
      </c>
    </row>
    <row r="198">
      <c r="A198" s="10" t="inlineStr">
        <is>
          <t>International Conference on Interconnected AI and NETworks</t>
        </is>
      </c>
      <c r="B198" s="10" t="inlineStr">
        <is>
          <t>orange.fr</t>
        </is>
      </c>
      <c r="C198" s="10" t="inlineStr">
        <is>
          <t>2026-11-23</t>
        </is>
      </c>
      <c r="D198" s="10" t="inlineStr">
        <is>
          <t>2026-11-25</t>
        </is>
      </c>
      <c r="E198" s="10" t="inlineStr"/>
      <c r="F198" s="10" t="inlineStr">
        <is>
          <t>non identifié publiquement</t>
        </is>
      </c>
      <c r="G198" s="10" t="inlineStr">
        <is>
          <t>non identifié publiquement</t>
        </is>
      </c>
      <c r="H198" s="10" t="inlineStr">
        <is>
          <t>Paris (arrondissement non communique)</t>
        </is>
      </c>
      <c r="I198" s="10" t="inlineStr">
        <is>
          <t>75</t>
        </is>
      </c>
      <c r="J198" s="10" t="inlineStr">
        <is>
          <t>présentiel</t>
        </is>
      </c>
      <c r="K198" s="11" t="inlineStr">
        <is>
          <t>1st International Conference on Interconnected AI and NETworks. November 23-25, 2026 in Paris. Submit papers on AI-driven networking, algorithms, and protocols.</t>
        </is>
      </c>
      <c r="L198" s="11" t="inlineStr">
        <is>
          <t>non identifié publiquement</t>
        </is>
      </c>
      <c r="M198" s="10" t="inlineStr">
        <is>
          <t>Numerique, informatique, technologies</t>
        </is>
      </c>
      <c r="N198" s="10" t="inlineStr">
        <is>
          <t>International Conference on Interconnected AI and NETworks - 1st International Conference on Interconnected AI and NETworks. November 23-25, 2026 in Paris. Submit papers o</t>
        </is>
      </c>
      <c r="O198" s="10" t="inlineStr">
        <is>
          <t>non identifié publiquement</t>
        </is>
      </c>
      <c r="P198" s="10" t="inlineStr"/>
      <c r="Q198" s="11" t="inlineStr"/>
      <c r="R198" s="10" t="inlineStr">
        <is>
          <t>non identifié publiquement</t>
        </is>
      </c>
      <c r="S198" s="10" t="inlineStr">
        <is>
          <t>non</t>
        </is>
      </c>
      <c r="T198" s="11" t="inlineStr"/>
      <c r="U198" s="10" t="inlineStr">
        <is>
          <t>non identifié publiquement</t>
        </is>
      </c>
      <c r="V198" s="10" t="inlineStr">
        <is>
          <t>https://www.agenda-tech.com/events/international-conference-on-interconnected-ai-and-networks-2026</t>
        </is>
      </c>
      <c r="W198" s="10" t="inlineStr">
        <is>
          <t>2026-09-15</t>
        </is>
      </c>
      <c r="X198" s="11" t="inlineStr">
        <is>
          <t>Identifie via l'agregateur specialise Agenda Tech (donnees structurees schema.org publiees par l'organisateur).</t>
        </is>
      </c>
      <c r="Y198" s="7" t="inlineStr">
        <is>
          <t>16|4</t>
        </is>
      </c>
      <c r="Z198" s="7" t="inlineStr">
        <is>
          <t>IA / Intelligence artificielle + Tech / IT / Logiciels / Télécom</t>
        </is>
      </c>
      <c r="AA198" s="7" t="inlineStr">
        <is>
          <t>11</t>
        </is>
      </c>
      <c r="AB198" s="7" t="inlineStr"/>
      <c r="AC198" s="7" t="inlineStr"/>
      <c r="AD198" s="7" t="inlineStr"/>
      <c r="AE198" s="7" t="inlineStr">
        <is>
          <t>11</t>
        </is>
      </c>
      <c r="AF198" s="7" t="inlineStr">
        <is>
          <t>IA / Automatisation / No-code / Low-code</t>
        </is>
      </c>
      <c r="AG198" s="7" t="inlineStr">
        <is>
          <t>déduit</t>
        </is>
      </c>
      <c r="AH198" s="12" t="inlineStr">
        <is>
          <t>Deduit du secteur (axe 1)</t>
        </is>
      </c>
      <c r="AI198" s="7" t="inlineStr">
        <is>
          <t>4</t>
        </is>
      </c>
      <c r="AJ198" s="7" t="inlineStr">
        <is>
          <t>121-400</t>
        </is>
      </c>
      <c r="AK198" s="8" t="inlineStr">
        <is>
          <t>estimé</t>
        </is>
      </c>
      <c r="AL198" s="7" t="inlineStr">
        <is>
          <t>estimation : 200 a 800 participants</t>
        </is>
      </c>
      <c r="AM198" s="11" t="inlineStr">
        <is>
          <t>Modele de format (conference technique ou sectorielle), fourchette 200-800</t>
        </is>
      </c>
      <c r="AN198" s="7" t="inlineStr">
        <is>
          <t>moyenne</t>
        </is>
      </c>
      <c r="AO198" s="7" t="inlineStr">
        <is>
          <t>3</t>
        </is>
      </c>
      <c r="AP198" s="7" t="inlineStr">
        <is>
          <t>Opérationnels / Utilisateurs métier</t>
        </is>
      </c>
      <c r="AQ198" s="8" t="inlineStr">
        <is>
          <t>estimé</t>
        </is>
      </c>
      <c r="AR198" s="12" t="inlineStr">
        <is>
          <t>Conference technique IA : profils operationnels et utilisateurs metier</t>
        </is>
      </c>
      <c r="AS198" s="7" t="inlineStr">
        <is>
          <t>2</t>
        </is>
      </c>
      <c r="AT198" s="7" t="inlineStr">
        <is>
          <t>Moyen</t>
        </is>
      </c>
      <c r="AU198" s="8" t="inlineStr">
        <is>
          <t>estimé</t>
        </is>
      </c>
      <c r="AV198" s="12" t="inlineStr">
        <is>
          <t>Billetterie en vente libre (mention 'Voir tarifs sur le site' chez Agenda Tech), sans gratuite confirmee</t>
        </is>
      </c>
      <c r="AW198" s="7" t="inlineStr">
        <is>
          <t>S:16|4 L:11 N:4 P:3 A:2</t>
        </is>
      </c>
    </row>
    <row r="199">
      <c r="A199" s="10" t="inlineStr">
        <is>
          <t>International Meet on Forensic Innovations</t>
        </is>
      </c>
      <c r="B199" s="10" t="inlineStr">
        <is>
          <t>Mindspace Conferences</t>
        </is>
      </c>
      <c r="C199" s="10" t="inlineStr">
        <is>
          <t>2026-11-23</t>
        </is>
      </c>
      <c r="D199" s="10" t="inlineStr">
        <is>
          <t>2026-11-25</t>
        </is>
      </c>
      <c r="E199" s="10" t="inlineStr"/>
      <c r="F199" s="10" t="inlineStr">
        <is>
          <t>non identifié publiquement</t>
        </is>
      </c>
      <c r="G199" s="10" t="inlineStr">
        <is>
          <t>non identifié publiquement</t>
        </is>
      </c>
      <c r="H199" s="10" t="inlineStr">
        <is>
          <t>Paris (arrondissement non communique)</t>
        </is>
      </c>
      <c r="I199" s="10" t="inlineStr">
        <is>
          <t>75</t>
        </is>
      </c>
      <c r="J199" s="10" t="inlineStr">
        <is>
          <t>présentiel</t>
        </is>
      </c>
      <c r="K199" s="11" t="inlineStr">
        <is>
          <t>International Meet on Forensic Innovations à Paris le 23 novembre 2026. Conférence B2B sur l'IA et l'automatisation en science judiciaire.</t>
        </is>
      </c>
      <c r="L199" s="11" t="inlineStr">
        <is>
          <t>non identifié publiquement</t>
        </is>
      </c>
      <c r="M199" s="10" t="inlineStr">
        <is>
          <t>Numerique, informatique, technologies</t>
        </is>
      </c>
      <c r="N199" s="10" t="inlineStr">
        <is>
          <t>International Meet on Forensic Innovations - International Meet on Forensic Innovations à Paris le 23 novembre 2026. Conférence B2B sur l'IA et l'automatis</t>
        </is>
      </c>
      <c r="O199" s="10" t="inlineStr">
        <is>
          <t>non identifié publiquement</t>
        </is>
      </c>
      <c r="P199" s="10" t="inlineStr"/>
      <c r="Q199" s="11" t="inlineStr"/>
      <c r="R199" s="10" t="inlineStr">
        <is>
          <t>non identifié publiquement</t>
        </is>
      </c>
      <c r="S199" s="10" t="inlineStr">
        <is>
          <t>non</t>
        </is>
      </c>
      <c r="T199" s="11" t="inlineStr"/>
      <c r="U199" s="10" t="inlineStr">
        <is>
          <t>non identifié publiquement</t>
        </is>
      </c>
      <c r="V199" s="10" t="inlineStr">
        <is>
          <t>https://www.agenda-tech.com/events/international-meet-on-forensic-innovations-2026</t>
        </is>
      </c>
      <c r="W199" s="10" t="inlineStr">
        <is>
          <t>2026-09-15</t>
        </is>
      </c>
      <c r="X199" s="11" t="inlineStr">
        <is>
          <t>Identifie via l'agregateur specialise Agenda Tech (donnees structurees schema.org publiees par l'organisateur).</t>
        </is>
      </c>
      <c r="Y199" s="7" t="inlineStr">
        <is>
          <t>4</t>
        </is>
      </c>
      <c r="Z199" s="7" t="inlineStr">
        <is>
          <t>Tech / IT / Logiciels / Télécom</t>
        </is>
      </c>
      <c r="AA199" s="7" t="inlineStr">
        <is>
          <t>11</t>
        </is>
      </c>
      <c r="AB199" s="7" t="inlineStr"/>
      <c r="AC199" s="7" t="inlineStr"/>
      <c r="AD199" s="7" t="inlineStr"/>
      <c r="AE199" s="7" t="inlineStr">
        <is>
          <t>11</t>
        </is>
      </c>
      <c r="AF199" s="7" t="inlineStr">
        <is>
          <t>IA / Automatisation / No-code / Low-code</t>
        </is>
      </c>
      <c r="AG199" s="7" t="inlineStr">
        <is>
          <t>constaté</t>
        </is>
      </c>
      <c r="AH199" s="12" t="inlineStr"/>
      <c r="AI199" s="7" t="inlineStr">
        <is>
          <t>4</t>
        </is>
      </c>
      <c r="AJ199" s="7" t="inlineStr">
        <is>
          <t>121-400</t>
        </is>
      </c>
      <c r="AK199" s="8" t="inlineStr">
        <is>
          <t>estimé</t>
        </is>
      </c>
      <c r="AL199" s="7" t="inlineStr">
        <is>
          <t>estimation : 200 a 800 participants</t>
        </is>
      </c>
      <c r="AM199" s="11" t="inlineStr">
        <is>
          <t>Modele de format (conference technique ou sectorielle), fourchette 200-800</t>
        </is>
      </c>
      <c r="AN199" s="7" t="inlineStr">
        <is>
          <t>moyenne</t>
        </is>
      </c>
      <c r="AO199" s="7" t="inlineStr">
        <is>
          <t>3</t>
        </is>
      </c>
      <c r="AP199" s="7" t="inlineStr">
        <is>
          <t>Opérationnels / Utilisateurs métier</t>
        </is>
      </c>
      <c r="AQ199" s="8" t="inlineStr">
        <is>
          <t>estimé</t>
        </is>
      </c>
      <c r="AR199" s="12" t="inlineStr">
        <is>
          <t>Conference technique IA : profils operationnels et utilisateurs metier</t>
        </is>
      </c>
      <c r="AS199" s="7" t="inlineStr">
        <is>
          <t>2</t>
        </is>
      </c>
      <c r="AT199" s="7" t="inlineStr">
        <is>
          <t>Moyen</t>
        </is>
      </c>
      <c r="AU199" s="8" t="inlineStr">
        <is>
          <t>estimé</t>
        </is>
      </c>
      <c r="AV199" s="12" t="inlineStr">
        <is>
          <t>Tarif payant publie par Agenda Tech</t>
        </is>
      </c>
      <c r="AW199" s="7" t="inlineStr">
        <is>
          <t>S:4 L:11 N:4 P:3 A:2</t>
        </is>
      </c>
    </row>
    <row r="200">
      <c r="A200" s="10" t="inlineStr">
        <is>
          <t>Congres de l'ADF 2026</t>
        </is>
      </c>
      <c r="B200" s="10" t="inlineStr">
        <is>
          <t>Association Dentaire Francaise (ADF)</t>
        </is>
      </c>
      <c r="C200" s="10" t="inlineStr">
        <is>
          <t>2026-11-24</t>
        </is>
      </c>
      <c r="D200" s="10" t="inlineStr">
        <is>
          <t>2026-11-28</t>
        </is>
      </c>
      <c r="E200" s="10" t="inlineStr"/>
      <c r="F200" s="10" t="inlineStr">
        <is>
          <t>annuel</t>
        </is>
      </c>
      <c r="G200" s="10" t="inlineStr">
        <is>
          <t>Palais des Congres de Paris (Porte Maillot)</t>
        </is>
      </c>
      <c r="H200" s="10" t="inlineStr">
        <is>
          <t>Paris 17e</t>
        </is>
      </c>
      <c r="I200" s="10" t="inlineStr">
        <is>
          <t>75</t>
        </is>
      </c>
      <c r="J200" s="10" t="inlineStr">
        <is>
          <t>présentiel</t>
        </is>
      </c>
      <c r="K200" s="11" t="inlineStr">
        <is>
          <t>Le rendez-vous de la profession dentaire</t>
        </is>
      </c>
      <c r="L200" s="11" t="inlineStr">
        <is>
          <t>Visitorat : réservé aux professionnels (fiche CCI Paris Ile-de-France)</t>
        </is>
      </c>
      <c r="M200" s="10" t="inlineStr">
        <is>
          <t>Santé, médecine, pharmacie, biotechnologies et équipements</t>
        </is>
      </c>
      <c r="N200" s="10" t="inlineStr">
        <is>
          <t>non identifié publiquement</t>
        </is>
      </c>
      <c r="O200" s="10" t="inlineStr">
        <is>
          <t>non identifié publiquement</t>
        </is>
      </c>
      <c r="P200" s="10" t="inlineStr">
        <is>
          <t>CONFIRME</t>
        </is>
      </c>
      <c r="Q200" s="11" t="inlineStr">
        <is>
          <t>Chiffre annonce pour l'edition 2026 au Paris Convention Centre, relaye par la presse professionnelle dentaire</t>
        </is>
      </c>
      <c r="R200" s="10" t="inlineStr">
        <is>
          <t>billet payant</t>
        </is>
      </c>
      <c r="S200" s="10" t="inlineStr">
        <is>
          <t>oui</t>
        </is>
      </c>
      <c r="T200" s="11" t="inlineStr">
        <is>
          <t>Congres reserve a la profession dentaire (chirurgiens-dentistes, assistants, prothesistes)</t>
        </is>
      </c>
      <c r="U200" s="10" t="inlineStr">
        <is>
          <t>non identifié publiquement</t>
        </is>
      </c>
      <c r="V200" s="10" t="inlineStr">
        <is>
          <t>https://adf.asso.fr/</t>
        </is>
      </c>
      <c r="W200" s="10" t="inlineStr">
        <is>
          <t>2026-09-15</t>
        </is>
      </c>
      <c r="X200" s="11" t="inlineStr">
        <is>
          <t>Conserve en application de la regle : une restriction professionnelle n'est pas un motif d'exclusion. Public heterogene incluant cabinets de groupe, centres dentaires, industriels et distributeurs, donc pas structurellement sous le plancher ICP.</t>
        </is>
      </c>
      <c r="Y200" s="7" t="inlineStr">
        <is>
          <t>7</t>
        </is>
      </c>
      <c r="Z200" s="7" t="inlineStr">
        <is>
          <t>Santé / Pharma / Biotech / Medtech</t>
        </is>
      </c>
      <c r="AA200" s="7" t="inlineStr"/>
      <c r="AB200" s="7" t="inlineStr"/>
      <c r="AC200" s="7" t="inlineStr">
        <is>
          <t>7</t>
        </is>
      </c>
      <c r="AD200" s="7" t="inlineStr">
        <is>
          <t>2</t>
        </is>
      </c>
      <c r="AE200" s="7" t="inlineStr">
        <is>
          <t>0</t>
        </is>
      </c>
      <c r="AF200" s="7" t="inlineStr">
        <is>
          <t>Générique / Multi-éditeurs / Sans dominante</t>
        </is>
      </c>
      <c r="AG200" s="8" t="inlineStr">
        <is>
          <t>estimé</t>
        </is>
      </c>
      <c r="AH200" s="12" t="inlineStr">
        <is>
          <t>Aucune dimension logicielle dans le positionnement de l'organisateur : rattache au 0 (sans dominante) plutot que laisse vide, conformement a la demande de non-vide</t>
        </is>
      </c>
      <c r="AI200" s="7" t="inlineStr">
        <is>
          <t>6</t>
        </is>
      </c>
      <c r="AJ200" s="7" t="inlineStr">
        <is>
          <t>&gt;2000</t>
        </is>
      </c>
      <c r="AK200" s="7" t="inlineStr">
        <is>
          <t>constaté</t>
        </is>
      </c>
      <c r="AL200" s="7" t="inlineStr">
        <is>
          <t>pres de 28 000 participants</t>
        </is>
      </c>
      <c r="AM200" s="11" t="inlineStr">
        <is>
          <t>Chiffre annonce pour l'edition 2026 au Paris Convention Centre, relaye par la presse professionnelle dentaire</t>
        </is>
      </c>
      <c r="AN200" s="7" t="inlineStr">
        <is>
          <t>haute</t>
        </is>
      </c>
      <c r="AO200" s="7" t="inlineStr">
        <is>
          <t>7</t>
        </is>
      </c>
      <c r="AP200" s="7" t="inlineStr">
        <is>
          <t>Experts / Advisors / Associations professionnelles</t>
        </is>
      </c>
      <c r="AQ200" s="7" t="inlineStr">
        <is>
          <t>constaté</t>
        </is>
      </c>
      <c r="AR200" s="12" t="inlineStr"/>
      <c r="AS200" s="7" t="inlineStr">
        <is>
          <t>2</t>
        </is>
      </c>
      <c r="AT200" s="7" t="inlineStr">
        <is>
          <t>Moyen</t>
        </is>
      </c>
      <c r="AU200" s="7" t="inlineStr">
        <is>
          <t>constaté</t>
        </is>
      </c>
      <c r="AV200" s="12" t="inlineStr"/>
      <c r="AW200" s="7" t="inlineStr">
        <is>
          <t>S:7 L:0 N:6 P:7 A:2</t>
        </is>
      </c>
    </row>
    <row r="201">
      <c r="A201" s="10" t="inlineStr">
        <is>
          <t>Salon Francais de la Legaltech 2026 - Rendez-vous de la transformation du droit</t>
        </is>
      </c>
      <c r="B201" s="10" t="inlineStr">
        <is>
          <t>Village de la Justice / Legi Team</t>
        </is>
      </c>
      <c r="C201" s="10" t="inlineStr">
        <is>
          <t>2026-11-24</t>
        </is>
      </c>
      <c r="D201" s="10" t="inlineStr">
        <is>
          <t>2026-11-25</t>
        </is>
      </c>
      <c r="E201" s="10" t="inlineStr"/>
      <c r="F201" s="10" t="inlineStr">
        <is>
          <t>annuel</t>
        </is>
      </c>
      <c r="G201" s="10" t="inlineStr">
        <is>
          <t>Universcience - Cite des sciences et de l'industrie</t>
        </is>
      </c>
      <c r="H201" s="10" t="inlineStr">
        <is>
          <t>Paris 19e</t>
        </is>
      </c>
      <c r="I201" s="10" t="inlineStr">
        <is>
          <t>75</t>
        </is>
      </c>
      <c r="J201" s="10" t="inlineStr">
        <is>
          <t>présentiel</t>
        </is>
      </c>
      <c r="K201" s="11" t="inlineStr">
        <is>
          <t>Salon des technologies appliquees au droit : outils de la transformation numerique des directions juridiques et des cabinets.</t>
        </is>
      </c>
      <c r="L201" s="11" t="inlineStr">
        <is>
          <t>Visitorat : réservé aux professionnels (fiche CCI Paris Ile-de-France)</t>
        </is>
      </c>
      <c r="M201" s="10" t="inlineStr">
        <is>
          <t>Assurances, banque, services financiers, juridique</t>
        </is>
      </c>
      <c r="N201" s="10" t="inlineStr">
        <is>
          <t>Legaltech, automatisation documentaire, IA juridique, gestion de contrats</t>
        </is>
      </c>
      <c r="O201" s="10" t="inlineStr">
        <is>
          <t>non identifié publiquement</t>
        </is>
      </c>
      <c r="P201" s="10" t="inlineStr"/>
      <c r="Q201" s="11" t="inlineStr"/>
      <c r="R201" s="10" t="inlineStr">
        <is>
          <t>inscription libre</t>
        </is>
      </c>
      <c r="S201" s="10" t="inlineStr">
        <is>
          <t>non</t>
        </is>
      </c>
      <c r="T201" s="11" t="inlineStr"/>
      <c r="U201" s="10" t="inlineStr">
        <is>
          <t>non identifié publiquement</t>
        </is>
      </c>
      <c r="V201" s="10" t="inlineStr">
        <is>
          <t>https://www.cci-paris-idf.fr/fr/evenements-salons/salons-foires-paris-ile-de-france/salon-francais-de-la-legaltech-rdv-de-la-transformation-du-droit</t>
        </is>
      </c>
      <c r="W201" s="10" t="inlineStr">
        <is>
          <t>2026-09-15</t>
        </is>
      </c>
      <c r="X201" s="11" t="inlineStr">
        <is>
          <t>FORT ALIGNEMENT IA : marche de l'IA appliquee au droit. Egalement rattachable aux familles E (AFJE, juristes d'entreprise) et J (avocats).</t>
        </is>
      </c>
      <c r="Y201" s="7" t="inlineStr">
        <is>
          <t>9|8</t>
        </is>
      </c>
      <c r="Z201" s="7" t="inlineStr">
        <is>
          <t>Services professionnels / Conseil / Juridique / Comptabilité + Finance / Banque / Assurance</t>
        </is>
      </c>
      <c r="AA201" s="7" t="inlineStr">
        <is>
          <t>5</t>
        </is>
      </c>
      <c r="AB201" s="7" t="inlineStr"/>
      <c r="AC201" s="7" t="inlineStr"/>
      <c r="AD201" s="7" t="inlineStr">
        <is>
          <t>2</t>
        </is>
      </c>
      <c r="AE201" s="7" t="inlineStr">
        <is>
          <t>5</t>
        </is>
      </c>
      <c r="AF201" s="7" t="inlineStr">
        <is>
          <t>GED / Dématérialisation / Workflow documentaire</t>
        </is>
      </c>
      <c r="AG201" s="7" t="inlineStr">
        <is>
          <t>constaté</t>
        </is>
      </c>
      <c r="AH201" s="12" t="inlineStr"/>
      <c r="AI201" s="7" t="inlineStr">
        <is>
          <t>5</t>
        </is>
      </c>
      <c r="AJ201" s="7" t="inlineStr">
        <is>
          <t>401-2000</t>
        </is>
      </c>
      <c r="AK201" s="8" t="inlineStr">
        <is>
          <t>estimé</t>
        </is>
      </c>
      <c r="AL201" s="7" t="inlineStr">
        <is>
          <t>estimation : 1500 a 1500 participants</t>
        </is>
      </c>
      <c r="AM201" s="11" t="inlineStr">
        <is>
          <t>Modele de format (salon professionnel en parc d'exposition), fourchette 1500-1500, plafonnee par la capacite du lieu (Universcience - Cite des sciences et de  ~ 1500)</t>
        </is>
      </c>
      <c r="AN201" s="7" t="inlineStr">
        <is>
          <t>moyenne</t>
        </is>
      </c>
      <c r="AO201" s="7" t="inlineStr">
        <is>
          <t>3|4</t>
        </is>
      </c>
      <c r="AP201" s="7" t="inlineStr">
        <is>
          <t>Opérationnels / Utilisateurs métier + Partenaires / Prescripteurs / Consultants / Intégrateurs</t>
        </is>
      </c>
      <c r="AQ201" s="8" t="inlineStr">
        <is>
          <t>estimé</t>
        </is>
      </c>
      <c r="AR201" s="12" t="inlineStr">
        <is>
          <t>Salon professionnel sectoriel : operationnels du secteur et prescripteurs</t>
        </is>
      </c>
      <c r="AS201" s="7" t="inlineStr">
        <is>
          <t>2</t>
        </is>
      </c>
      <c r="AT201" s="7" t="inlineStr">
        <is>
          <t>Moyen</t>
        </is>
      </c>
      <c r="AU201" s="7" t="inlineStr">
        <is>
          <t>constaté</t>
        </is>
      </c>
      <c r="AV201" s="12" t="inlineStr"/>
      <c r="AW201" s="7" t="inlineStr">
        <is>
          <t>S:9|8 L:5 N:5 P:3|4 A:2</t>
        </is>
      </c>
    </row>
    <row r="202">
      <c r="A202" s="10" t="inlineStr">
        <is>
          <t>Salon des Maires et des Collectivites Locales (SMCL) 2026</t>
        </is>
      </c>
      <c r="B202" s="10" t="inlineStr">
        <is>
          <t>Infopro Digital Salons / Association des Maires de France (AMF)</t>
        </is>
      </c>
      <c r="C202" s="10" t="inlineStr">
        <is>
          <t>2026-11-24</t>
        </is>
      </c>
      <c r="D202" s="10" t="inlineStr">
        <is>
          <t>2026-11-26</t>
        </is>
      </c>
      <c r="E202" s="10" t="inlineStr"/>
      <c r="F202" s="10" t="inlineStr">
        <is>
          <t>annuel</t>
        </is>
      </c>
      <c r="G202" s="10" t="inlineStr">
        <is>
          <t>Paris Expo Porte de Versailles - Pavillon 7</t>
        </is>
      </c>
      <c r="H202" s="10" t="inlineStr">
        <is>
          <t>Paris 15e</t>
        </is>
      </c>
      <c r="I202" s="10" t="inlineStr">
        <is>
          <t>75</t>
        </is>
      </c>
      <c r="J202" s="10" t="inlineStr">
        <is>
          <t>présentiel</t>
        </is>
      </c>
      <c r="K202" s="11" t="inlineStr">
        <is>
          <t>Rendez-vous annuel des elus locaux et des decideurs publics, en parallele du Congres des Maires. Edition 2026 : 'L'audace est locale'.</t>
        </is>
      </c>
      <c r="L202" s="11" t="inlineStr">
        <is>
          <t>maires, elus locaux, decideurs publics, acheteurs publics et decideurs techniques</t>
        </is>
      </c>
      <c r="M202" s="10" t="inlineStr">
        <is>
          <t>Secteur public, collectivites territoriales, achat public</t>
        </is>
      </c>
      <c r="N202" s="10" t="inlineStr">
        <is>
          <t>non identifié publiquement</t>
        </is>
      </c>
      <c r="O202" s="10" t="inlineStr">
        <is>
          <t>65 672 visiteurs et 1 380 exposants (edition 2025)</t>
        </is>
      </c>
      <c r="P202" s="10" t="inlineStr">
        <is>
          <t>CONFIRME</t>
        </is>
      </c>
      <c r="Q202" s="11" t="inlineStr">
        <is>
          <t>Chiffres de l'edition 2025 publies par l'organisateur sur le site officiel</t>
        </is>
      </c>
      <c r="R202" s="10" t="inlineStr">
        <is>
          <t>inscription libre</t>
        </is>
      </c>
      <c r="S202" s="10" t="inlineStr">
        <is>
          <t>non</t>
        </is>
      </c>
      <c r="T202" s="11" t="inlineStr"/>
      <c r="U202" s="10" t="inlineStr">
        <is>
          <t>gratuit</t>
        </is>
      </c>
      <c r="V202" s="10" t="inlineStr">
        <is>
          <t>https://www.salondesmaires.com/</t>
        </is>
      </c>
      <c r="W202" s="10" t="inlineStr">
        <is>
          <t>2026-09-15</t>
        </is>
      </c>
      <c r="X202" s="11" t="inlineStr">
        <is>
          <t>Badge visiteur gratuit. Fort volume d'acheteurs publics : cible potentielle pour un cabinet IA sur le secteur public, hors ICP PME/ETI strict.</t>
        </is>
      </c>
      <c r="Y202" s="7" t="inlineStr">
        <is>
          <t>13</t>
        </is>
      </c>
      <c r="Z202" s="7" t="inlineStr">
        <is>
          <t>Secteur public / Collectivités / Institutions</t>
        </is>
      </c>
      <c r="AA202" s="7" t="inlineStr"/>
      <c r="AB202" s="7" t="inlineStr">
        <is>
          <t>6</t>
        </is>
      </c>
      <c r="AC202" s="7" t="inlineStr">
        <is>
          <t>9|1</t>
        </is>
      </c>
      <c r="AD202" s="7" t="inlineStr">
        <is>
          <t>1</t>
        </is>
      </c>
      <c r="AE202" s="7" t="inlineStr">
        <is>
          <t>0</t>
        </is>
      </c>
      <c r="AF202" s="7" t="inlineStr">
        <is>
          <t>Générique / Multi-éditeurs / Sans dominante</t>
        </is>
      </c>
      <c r="AG202" s="8" t="inlineStr">
        <is>
          <t>estimé</t>
        </is>
      </c>
      <c r="AH202" s="12" t="inlineStr">
        <is>
          <t>Aucune dimension logicielle dans le positionnement de l'organisateur : rattache au 0 (sans dominante) plutot que laisse vide, conformement a la demande de non-vide</t>
        </is>
      </c>
      <c r="AI202" s="7" t="inlineStr">
        <is>
          <t>6</t>
        </is>
      </c>
      <c r="AJ202" s="7" t="inlineStr">
        <is>
          <t>&gt;2000</t>
        </is>
      </c>
      <c r="AK202" s="7" t="inlineStr">
        <is>
          <t>constaté</t>
        </is>
      </c>
      <c r="AL202" s="7" t="inlineStr">
        <is>
          <t>65 672 visiteurs et 1 380 exposants (edition 2025)</t>
        </is>
      </c>
      <c r="AM202" s="11" t="inlineStr">
        <is>
          <t>Chiffre publie par l'organisateur (colonne taille_source)</t>
        </is>
      </c>
      <c r="AN202" s="7" t="inlineStr">
        <is>
          <t>haute</t>
        </is>
      </c>
      <c r="AO202" s="7" t="inlineStr">
        <is>
          <t>9|1</t>
        </is>
      </c>
      <c r="AP202" s="7" t="inlineStr">
        <is>
          <t>Institutionnels / Secteur public + Décideurs PME/ETI</t>
        </is>
      </c>
      <c r="AQ202" s="7" t="inlineStr">
        <is>
          <t>constaté</t>
        </is>
      </c>
      <c r="AR202" s="12" t="inlineStr"/>
      <c r="AS202" s="7" t="inlineStr">
        <is>
          <t>1</t>
        </is>
      </c>
      <c r="AT202" s="7" t="inlineStr">
        <is>
          <t>Facile</t>
        </is>
      </c>
      <c r="AU202" s="7" t="inlineStr">
        <is>
          <t>constaté</t>
        </is>
      </c>
      <c r="AV202" s="12" t="inlineStr"/>
      <c r="AW202" s="7" t="inlineStr">
        <is>
          <t>S:13 L:0 N:6 P:9|1 A:1</t>
        </is>
      </c>
    </row>
    <row r="203">
      <c r="A203" s="10" t="inlineStr">
        <is>
          <t>Grands Prix de l'Industrie 2026 (ceremonie)</t>
        </is>
      </c>
      <c r="B203" s="10" t="inlineStr">
        <is>
          <t>France Industrie / BFM Business</t>
        </is>
      </c>
      <c r="C203" s="10" t="inlineStr">
        <is>
          <t>2026-11-25</t>
        </is>
      </c>
      <c r="D203" s="10" t="inlineStr"/>
      <c r="E203" s="10" t="inlineStr"/>
      <c r="F203" s="10" t="inlineStr">
        <is>
          <t>annuel</t>
        </is>
      </c>
      <c r="G203" s="10" t="inlineStr">
        <is>
          <t>Plateau de BFM Business (adresse non communiquee sur la fiche)</t>
        </is>
      </c>
      <c r="H203" s="10" t="inlineStr">
        <is>
          <t>non identifié publiquement</t>
        </is>
      </c>
      <c r="I203" s="10" t="inlineStr">
        <is>
          <t>non identifié publiquement</t>
        </is>
      </c>
      <c r="J203" s="10" t="inlineStr">
        <is>
          <t>présentiel</t>
        </is>
      </c>
      <c r="K203" s="11" t="inlineStr">
        <is>
          <t>Ceremonie de remise des Grands Prix de l'Industrie sur le plateau de BFM Business, avec interviews et reportages exclusifs.</t>
        </is>
      </c>
      <c r="L203" s="11" t="inlineStr">
        <is>
          <t>non identifié publiquement</t>
        </is>
      </c>
      <c r="M203" s="10" t="inlineStr">
        <is>
          <t>Industrie</t>
        </is>
      </c>
      <c r="N203" s="10" t="inlineStr">
        <is>
          <t>non identifié publiquement</t>
        </is>
      </c>
      <c r="O203" s="10" t="inlineStr">
        <is>
          <t>non identifié publiquement</t>
        </is>
      </c>
      <c r="P203" s="10" t="inlineStr"/>
      <c r="Q203" s="11" t="inlineStr"/>
      <c r="R203" s="10" t="inlineStr">
        <is>
          <t>invitation</t>
        </is>
      </c>
      <c r="S203" s="10" t="inlineStr">
        <is>
          <t>oui</t>
        </is>
      </c>
      <c r="T203" s="11" t="inlineStr">
        <is>
          <t>Ceremonie sur plateau de television, acces non ouvert au public</t>
        </is>
      </c>
      <c r="U203" s="10" t="inlineStr">
        <is>
          <t>non identifié publiquement</t>
        </is>
      </c>
      <c r="V203" s="10" t="inlineStr">
        <is>
          <t>https://www.franceindustrie.org/agenda/ceremonie-grands-prix-de-lindustrie/</t>
        </is>
      </c>
      <c r="W203" s="10" t="inlineStr">
        <is>
          <t>2026-09-15</t>
        </is>
      </c>
      <c r="X203" s="11" t="inlineStr">
        <is>
          <t>Debut annonce a 20h30. Evenement labellise Semaine de l'industrie. Jury incluant Vincent Moulin Wright (DG France Industrie), Virginie Saks (ESSEC), Valerie Brusseau (Elles bougent), Julie Voyer (Global Industrie). LIEU NON PUBLIE : les studios BFM Business sont a Paris mais l'adresse n'est pas indiquee par l'organisateur, departement laisse non identifie plutot qu'infere.</t>
        </is>
      </c>
      <c r="Y203" s="7" t="inlineStr">
        <is>
          <t>3</t>
        </is>
      </c>
      <c r="Z203" s="7" t="inlineStr">
        <is>
          <t>Industrie / Manufacturing / Automobile / Aéronautique</t>
        </is>
      </c>
      <c r="AA203" s="7" t="inlineStr"/>
      <c r="AB203" s="7" t="inlineStr"/>
      <c r="AC203" s="7" t="inlineStr"/>
      <c r="AD203" s="7" t="inlineStr">
        <is>
          <t>3</t>
        </is>
      </c>
      <c r="AE203" s="7" t="inlineStr">
        <is>
          <t>0</t>
        </is>
      </c>
      <c r="AF203" s="7" t="inlineStr">
        <is>
          <t>Générique / Multi-éditeurs / Sans dominante</t>
        </is>
      </c>
      <c r="AG203" s="8" t="inlineStr">
        <is>
          <t>estimé</t>
        </is>
      </c>
      <c r="AH203" s="12" t="inlineStr">
        <is>
          <t>Aucune dimension logicielle dans le positionnement de l'organisateur : rattache au 0 (sans dominante) plutot que laisse vide, conformement a la demande de non-vide</t>
        </is>
      </c>
      <c r="AI203" s="7" t="inlineStr">
        <is>
          <t>4</t>
        </is>
      </c>
      <c r="AJ203" s="7" t="inlineStr">
        <is>
          <t>121-400</t>
        </is>
      </c>
      <c r="AK203" s="8" t="inlineStr">
        <is>
          <t>estimé</t>
        </is>
      </c>
      <c r="AL203" s="7" t="inlineStr">
        <is>
          <t>estimation : 200 a 800 participants</t>
        </is>
      </c>
      <c r="AM203" s="11" t="inlineStr">
        <is>
          <t>Modele de format (ceremonie de remise de prix), fourchette 200-800</t>
        </is>
      </c>
      <c r="AN203" s="7" t="inlineStr">
        <is>
          <t>moyenne</t>
        </is>
      </c>
      <c r="AO203" s="7" t="inlineStr">
        <is>
          <t>1</t>
        </is>
      </c>
      <c r="AP203" s="7" t="inlineStr">
        <is>
          <t>Décideurs PME/ETI</t>
        </is>
      </c>
      <c r="AQ203" s="8" t="inlineStr">
        <is>
          <t>estimé</t>
        </is>
      </c>
      <c r="AR203" s="12" t="inlineStr">
        <is>
          <t>Par defaut, evenement B2B francilien : decideurs PME/ETI</t>
        </is>
      </c>
      <c r="AS203" s="7" t="inlineStr">
        <is>
          <t>3</t>
        </is>
      </c>
      <c r="AT203" s="7" t="inlineStr">
        <is>
          <t>Difficile</t>
        </is>
      </c>
      <c r="AU203" s="7" t="inlineStr">
        <is>
          <t>constaté</t>
        </is>
      </c>
      <c r="AV203" s="12" t="inlineStr"/>
      <c r="AW203" s="7" t="inlineStr">
        <is>
          <t>S:3 L:0 N:4 P:1 A:3</t>
        </is>
      </c>
    </row>
    <row r="204">
      <c r="A204" s="10" t="inlineStr">
        <is>
          <t>43es Journees de l'AFTE 2026</t>
        </is>
      </c>
      <c r="B204" s="10" t="inlineStr">
        <is>
          <t>AFTE - Association Francaise des Tresoriers d'Entreprise</t>
        </is>
      </c>
      <c r="C204" s="10" t="inlineStr">
        <is>
          <t>2026-11-26</t>
        </is>
      </c>
      <c r="D204" s="10" t="inlineStr">
        <is>
          <t>2026-11-27</t>
        </is>
      </c>
      <c r="E204" s="10" t="inlineStr"/>
      <c r="F204" s="10" t="inlineStr">
        <is>
          <t>annuel</t>
        </is>
      </c>
      <c r="G204" s="10" t="inlineStr">
        <is>
          <t>CNIT Forest - Paris La Defense</t>
        </is>
      </c>
      <c r="H204" s="10" t="inlineStr">
        <is>
          <t>Puteaux</t>
        </is>
      </c>
      <c r="I204" s="10" t="inlineStr">
        <is>
          <t>92</t>
        </is>
      </c>
      <c r="J204" s="10" t="inlineStr">
        <is>
          <t>présentiel</t>
        </is>
      </c>
      <c r="K204" s="11" t="inlineStr">
        <is>
          <t>Rendez-vous annuel des tresoriers d'entreprise : sessions plenieres, ateliers, banques, societes de gestion, fintechs, editeurs de logiciels et cabinets de conseil.</t>
        </is>
      </c>
      <c r="L204" s="11" t="inlineStr">
        <is>
          <t>tresoriers d'entreprise et professionnels de la finance d'entreprise</t>
        </is>
      </c>
      <c r="M204" s="10" t="inlineStr">
        <is>
          <t>Tresorerie, finance d'entreprise, banque, fintech</t>
        </is>
      </c>
      <c r="N204" s="10" t="inlineStr">
        <is>
          <t>Editeurs de logiciels de tresorerie et fintechs presents parmi les exposants</t>
        </is>
      </c>
      <c r="O204" s="10" t="inlineStr">
        <is>
          <t>non identifié publiquement</t>
        </is>
      </c>
      <c r="P204" s="10" t="inlineStr"/>
      <c r="Q204" s="11" t="inlineStr"/>
      <c r="R204" s="10" t="inlineStr">
        <is>
          <t>billet payant</t>
        </is>
      </c>
      <c r="S204" s="10" t="inlineStr">
        <is>
          <t>oui</t>
        </is>
      </c>
      <c r="T204" s="11" t="inlineStr">
        <is>
          <t>Journees d'association professionnelle, orientees adherents et professionnels de la tresorerie</t>
        </is>
      </c>
      <c r="U204" s="10" t="inlineStr">
        <is>
          <t>non identifié publiquement</t>
        </is>
      </c>
      <c r="V204" s="10" t="inlineStr">
        <is>
          <t>https://www.afte.com/les-journees-de-lafte</t>
        </is>
      </c>
      <c r="W204" s="10" t="inlineStr">
        <is>
          <t>2026-09-15</t>
        </is>
      </c>
      <c r="X204" s="11" t="inlineStr">
        <is>
          <t>Ecosysteme tresorerie au complet, incluant editeurs et cabinets de conseil : terrain de prospection et de veille concurrentielle. Le site afte.com/evenements n'expose pas ses dates au scraping (contenu rendu en JavaScript) ; dates confirmees par sources tierces concordantes (datalog-finance.com, mydiapason.com).</t>
        </is>
      </c>
      <c r="Y204" s="7" t="inlineStr">
        <is>
          <t>8</t>
        </is>
      </c>
      <c r="Z204" s="7" t="inlineStr">
        <is>
          <t>Finance / Banque / Assurance</t>
        </is>
      </c>
      <c r="AA204" s="7" t="inlineStr">
        <is>
          <t>3</t>
        </is>
      </c>
      <c r="AB204" s="7" t="inlineStr"/>
      <c r="AC204" s="7" t="inlineStr">
        <is>
          <t>3</t>
        </is>
      </c>
      <c r="AD204" s="7" t="inlineStr">
        <is>
          <t>2</t>
        </is>
      </c>
      <c r="AE204" s="7" t="inlineStr">
        <is>
          <t>3</t>
        </is>
      </c>
      <c r="AF204" s="7" t="inlineStr">
        <is>
          <t>Finance / Comptabilité / Trésorerie / Facturation</t>
        </is>
      </c>
      <c r="AG204" s="7" t="inlineStr">
        <is>
          <t>constaté</t>
        </is>
      </c>
      <c r="AH204" s="12" t="inlineStr"/>
      <c r="AI204" s="7" t="inlineStr">
        <is>
          <t>5</t>
        </is>
      </c>
      <c r="AJ204" s="7" t="inlineStr">
        <is>
          <t>401-2000</t>
        </is>
      </c>
      <c r="AK204" s="8" t="inlineStr">
        <is>
          <t>estimé</t>
        </is>
      </c>
      <c r="AL204" s="7" t="inlineStr">
        <is>
          <t>estimation : 1000 a 2500 participants</t>
        </is>
      </c>
      <c r="AM204" s="11" t="inlineStr">
        <is>
          <t>Modele de format (congres de societe savante), fourchette 1000-2500, plafonnee par la capacite du lieu (CNIT Forest - Paris La Defense ~ 2500)</t>
        </is>
      </c>
      <c r="AN204" s="7" t="inlineStr">
        <is>
          <t>moyenne</t>
        </is>
      </c>
      <c r="AO204" s="7" t="inlineStr">
        <is>
          <t>3</t>
        </is>
      </c>
      <c r="AP204" s="7" t="inlineStr">
        <is>
          <t>Opérationnels / Utilisateurs métier</t>
        </is>
      </c>
      <c r="AQ204" s="7" t="inlineStr">
        <is>
          <t>constaté</t>
        </is>
      </c>
      <c r="AR204" s="12" t="inlineStr"/>
      <c r="AS204" s="7" t="inlineStr">
        <is>
          <t>2</t>
        </is>
      </c>
      <c r="AT204" s="7" t="inlineStr">
        <is>
          <t>Moyen</t>
        </is>
      </c>
      <c r="AU204" s="7" t="inlineStr">
        <is>
          <t>constaté</t>
        </is>
      </c>
      <c r="AV204" s="12" t="inlineStr"/>
      <c r="AW204" s="7" t="inlineStr">
        <is>
          <t>S:8 L:3 N:5 P:3 A:2</t>
        </is>
      </c>
    </row>
    <row r="205">
      <c r="A205" s="10" t="inlineStr">
        <is>
          <t>Be SOVEREIGN 2026</t>
        </is>
      </c>
      <c r="B205" s="10" t="inlineStr">
        <is>
          <t>Content and Business</t>
        </is>
      </c>
      <c r="C205" s="10" t="inlineStr">
        <is>
          <t>2026-11-26</t>
        </is>
      </c>
      <c r="D205" s="10" t="inlineStr"/>
      <c r="E205" s="10" t="inlineStr"/>
      <c r="F205" s="10" t="inlineStr">
        <is>
          <t>non identifié publiquement</t>
        </is>
      </c>
      <c r="G205" s="10" t="inlineStr">
        <is>
          <t>non identifié publiquement</t>
        </is>
      </c>
      <c r="H205" s="10" t="inlineStr">
        <is>
          <t>Paris (arrondissement non communique)</t>
        </is>
      </c>
      <c r="I205" s="10" t="inlineStr">
        <is>
          <t>75</t>
        </is>
      </c>
      <c r="J205" s="10" t="inlineStr">
        <is>
          <t>présentiel</t>
        </is>
      </c>
      <c r="K205" s="11" t="inlineStr">
        <is>
          <t>Be SOVEREIGN 2026 à Paris le 26 novembre. Conférence B2B sur la résilience numérique avec 1000 participants et 60 experts.</t>
        </is>
      </c>
      <c r="L205" s="11" t="inlineStr">
        <is>
          <t>non identifié publiquement</t>
        </is>
      </c>
      <c r="M205" s="10" t="inlineStr">
        <is>
          <t>Numerique, informatique, technologies</t>
        </is>
      </c>
      <c r="N205" s="10" t="inlineStr">
        <is>
          <t>non identifié publiquement</t>
        </is>
      </c>
      <c r="O205" s="10" t="inlineStr">
        <is>
          <t>non identifié publiquement</t>
        </is>
      </c>
      <c r="P205" s="10" t="inlineStr"/>
      <c r="Q205" s="11" t="inlineStr"/>
      <c r="R205" s="10" t="inlineStr">
        <is>
          <t>non identifié publiquement</t>
        </is>
      </c>
      <c r="S205" s="10" t="inlineStr">
        <is>
          <t>non</t>
        </is>
      </c>
      <c r="T205" s="11" t="inlineStr"/>
      <c r="U205" s="10" t="inlineStr">
        <is>
          <t>non identifié publiquement</t>
        </is>
      </c>
      <c r="V205" s="10" t="inlineStr">
        <is>
          <t>https://www.agenda-tech.com/events/be-sovereign-2026</t>
        </is>
      </c>
      <c r="W205" s="10" t="inlineStr">
        <is>
          <t>2026-09-15</t>
        </is>
      </c>
      <c r="X205" s="11" t="inlineStr">
        <is>
          <t>Identifie via l'agregateur specialise Agenda Tech (donnees structurees schema.org publiees par l'organisateur).</t>
        </is>
      </c>
      <c r="Y205" s="7" t="inlineStr">
        <is>
          <t>4</t>
        </is>
      </c>
      <c r="Z205" s="7" t="inlineStr">
        <is>
          <t>Tech / IT / Logiciels / Télécom</t>
        </is>
      </c>
      <c r="AA205" s="7" t="inlineStr">
        <is>
          <t>0</t>
        </is>
      </c>
      <c r="AB205" s="7" t="inlineStr"/>
      <c r="AC205" s="7" t="inlineStr">
        <is>
          <t>7</t>
        </is>
      </c>
      <c r="AD205" s="7" t="inlineStr"/>
      <c r="AE205" s="7" t="inlineStr">
        <is>
          <t>0</t>
        </is>
      </c>
      <c r="AF205" s="7" t="inlineStr">
        <is>
          <t>Générique / Multi-éditeurs / Sans dominante</t>
        </is>
      </c>
      <c r="AG205" s="7" t="inlineStr">
        <is>
          <t>déduit</t>
        </is>
      </c>
      <c r="AH205" s="12" t="inlineStr">
        <is>
          <t>Deduit du secteur (axe 1)</t>
        </is>
      </c>
      <c r="AI205" s="7" t="inlineStr">
        <is>
          <t>4</t>
        </is>
      </c>
      <c r="AJ205" s="7" t="inlineStr">
        <is>
          <t>121-400</t>
        </is>
      </c>
      <c r="AK205" s="8" t="inlineStr">
        <is>
          <t>estimé</t>
        </is>
      </c>
      <c r="AL205" s="7" t="inlineStr">
        <is>
          <t>estimation : 200 a 800 participants</t>
        </is>
      </c>
      <c r="AM205" s="11" t="inlineStr">
        <is>
          <t>Modele de format (conference technique ou sectorielle), fourchette 200-800</t>
        </is>
      </c>
      <c r="AN205" s="7" t="inlineStr">
        <is>
          <t>moyenne</t>
        </is>
      </c>
      <c r="AO205" s="7" t="inlineStr">
        <is>
          <t>7</t>
        </is>
      </c>
      <c r="AP205" s="7" t="inlineStr">
        <is>
          <t>Experts / Advisors / Associations professionnelles</t>
        </is>
      </c>
      <c r="AQ205" s="7" t="inlineStr">
        <is>
          <t>constaté</t>
        </is>
      </c>
      <c r="AR205" s="12" t="inlineStr"/>
      <c r="AS205" s="7" t="inlineStr">
        <is>
          <t>2</t>
        </is>
      </c>
      <c r="AT205" s="7" t="inlineStr">
        <is>
          <t>Moyen</t>
        </is>
      </c>
      <c r="AU205" s="8" t="inlineStr">
        <is>
          <t>estimé</t>
        </is>
      </c>
      <c r="AV205" s="12" t="inlineStr">
        <is>
          <t>Tarif payant publie par Agenda Tech</t>
        </is>
      </c>
      <c r="AW205" s="7" t="inlineStr">
        <is>
          <t>S:4 L:0 N:4 P:7 A:2</t>
        </is>
      </c>
    </row>
    <row r="206">
      <c r="A206" s="10" t="inlineStr">
        <is>
          <t>DevFest Paris 2026</t>
        </is>
      </c>
      <c r="B206" s="10" t="inlineStr">
        <is>
          <t>GDG Paris</t>
        </is>
      </c>
      <c r="C206" s="10" t="inlineStr">
        <is>
          <t>2026-11-27</t>
        </is>
      </c>
      <c r="D206" s="10" t="inlineStr"/>
      <c r="E206" s="10" t="inlineStr"/>
      <c r="F206" s="10" t="inlineStr">
        <is>
          <t>non identifié publiquement</t>
        </is>
      </c>
      <c r="G206" s="10" t="inlineStr">
        <is>
          <t>La Fabrique de la Connaissance</t>
        </is>
      </c>
      <c r="H206" s="10" t="inlineStr">
        <is>
          <t>Nanterre</t>
        </is>
      </c>
      <c r="I206" s="10" t="inlineStr">
        <is>
          <t>92</t>
        </is>
      </c>
      <c r="J206" s="10" t="inlineStr">
        <is>
          <t>présentiel</t>
        </is>
      </c>
      <c r="K206" s="11" t="inlineStr">
        <is>
          <t>DevFest Paris 2026 : 27 novembre à Nanterre. Conférence GDG réunissant 450 développeurs sur Frontend, Backend, Cloud, Data/IA et Mobile.</t>
        </is>
      </c>
      <c r="L206" s="11" t="inlineStr">
        <is>
          <t>non identifié publiquement</t>
        </is>
      </c>
      <c r="M206" s="10" t="inlineStr">
        <is>
          <t>Numerique, informatique, technologies</t>
        </is>
      </c>
      <c r="N206" s="10" t="inlineStr">
        <is>
          <t>DevFest Paris 2026 - DevFest Paris 2026 : 27 novembre à Nanterre. Conférence GDG réunissant 450 développeurs sur Frontend, Backend,</t>
        </is>
      </c>
      <c r="O206" s="10" t="inlineStr">
        <is>
          <t>non identifié publiquement</t>
        </is>
      </c>
      <c r="P206" s="10" t="inlineStr">
        <is>
          <t>ESTIME</t>
        </is>
      </c>
      <c r="Q206" s="11" t="inlineStr">
        <is>
          <t>Effectif attendu publie par l'agregateur specialise Agenda Tech pour cette edition</t>
        </is>
      </c>
      <c r="R206" s="10" t="inlineStr">
        <is>
          <t>non identifié publiquement</t>
        </is>
      </c>
      <c r="S206" s="10" t="inlineStr">
        <is>
          <t>non</t>
        </is>
      </c>
      <c r="T206" s="11" t="inlineStr"/>
      <c r="U206" s="10" t="inlineStr">
        <is>
          <t>non identifié publiquement</t>
        </is>
      </c>
      <c r="V206" s="10" t="inlineStr">
        <is>
          <t>https://www.agenda-tech.com/events/devfest-paris-2026</t>
        </is>
      </c>
      <c r="W206" s="10" t="inlineStr">
        <is>
          <t>2026-09-15</t>
        </is>
      </c>
      <c r="X206" s="11" t="inlineStr">
        <is>
          <t>Identifie via l'agregateur specialise Agenda Tech (donnees structurees schema.org publiees par l'organisateur).</t>
        </is>
      </c>
      <c r="Y206" s="7" t="inlineStr">
        <is>
          <t>4</t>
        </is>
      </c>
      <c r="Z206" s="7" t="inlineStr">
        <is>
          <t>Tech / IT / Logiciels / Télécom</t>
        </is>
      </c>
      <c r="AA206" s="7" t="inlineStr">
        <is>
          <t>0</t>
        </is>
      </c>
      <c r="AB206" s="7" t="inlineStr"/>
      <c r="AC206" s="7" t="inlineStr"/>
      <c r="AD206" s="7" t="inlineStr"/>
      <c r="AE206" s="7" t="inlineStr">
        <is>
          <t>0</t>
        </is>
      </c>
      <c r="AF206" s="7" t="inlineStr">
        <is>
          <t>Générique / Multi-éditeurs / Sans dominante</t>
        </is>
      </c>
      <c r="AG206" s="7" t="inlineStr">
        <is>
          <t>déduit</t>
        </is>
      </c>
      <c r="AH206" s="12" t="inlineStr">
        <is>
          <t>Deduit du secteur (axe 1)</t>
        </is>
      </c>
      <c r="AI206" s="7" t="inlineStr">
        <is>
          <t>5</t>
        </is>
      </c>
      <c r="AJ206" s="7" t="inlineStr">
        <is>
          <t>401-2000</t>
        </is>
      </c>
      <c r="AK206" s="8" t="inlineStr">
        <is>
          <t>estimé</t>
        </is>
      </c>
      <c r="AL206" s="7" t="inlineStr">
        <is>
          <t>environ 450 participants</t>
        </is>
      </c>
      <c r="AM206" s="11" t="inlineStr">
        <is>
          <t>Effectif attendu publie par Agenda Tech (agregateur specialise, chiffre de l'organisateur ou de l'agregateur)</t>
        </is>
      </c>
      <c r="AN206" s="7" t="inlineStr">
        <is>
          <t>moyenne</t>
        </is>
      </c>
      <c r="AO206" s="7" t="inlineStr">
        <is>
          <t>3</t>
        </is>
      </c>
      <c r="AP206" s="7" t="inlineStr">
        <is>
          <t>Opérationnels / Utilisateurs métier</t>
        </is>
      </c>
      <c r="AQ206" s="8" t="inlineStr">
        <is>
          <t>estimé</t>
        </is>
      </c>
      <c r="AR206" s="12" t="inlineStr">
        <is>
          <t>Conference technique IA : profils operationnels et utilisateurs metier</t>
        </is>
      </c>
      <c r="AS206" s="7" t="inlineStr">
        <is>
          <t>1</t>
        </is>
      </c>
      <c r="AT206" s="7" t="inlineStr">
        <is>
          <t>Facile</t>
        </is>
      </c>
      <c r="AU206" s="8" t="inlineStr">
        <is>
          <t>estimé</t>
        </is>
      </c>
      <c r="AV206" s="12" t="inlineStr">
        <is>
          <t>Tarif 'Gratuit' publie par Agenda Tech</t>
        </is>
      </c>
      <c r="AW206" s="7" t="inlineStr">
        <is>
          <t>S:4 L:0 N:5 P:3 A:1</t>
        </is>
      </c>
    </row>
    <row r="207">
      <c r="A207" s="10" t="inlineStr">
        <is>
          <t>Controle URSSAF : ne le subissez plus, anticipez-le</t>
        </is>
      </c>
      <c r="B207" s="10" t="inlineStr">
        <is>
          <t>CCI Paris Ile-de-France</t>
        </is>
      </c>
      <c r="C207" s="10" t="inlineStr">
        <is>
          <t>2026-11-30</t>
        </is>
      </c>
      <c r="D207" s="10" t="inlineStr"/>
      <c r="E207" s="10" t="inlineStr"/>
      <c r="F207" s="10" t="inlineStr">
        <is>
          <t>non identifié publiquement</t>
        </is>
      </c>
      <c r="G207" s="10" t="inlineStr">
        <is>
          <t>CCI Versailles-Yvelines, avenue de Paris</t>
        </is>
      </c>
      <c r="H207" s="10" t="inlineStr">
        <is>
          <t>Versailles</t>
        </is>
      </c>
      <c r="I207" s="10" t="inlineStr">
        <is>
          <t>78</t>
        </is>
      </c>
      <c r="J207" s="10" t="inlineStr">
        <is>
          <t>présentiel</t>
        </is>
      </c>
      <c r="K207" s="11" t="inlineStr">
        <is>
          <t>Atelier de preparation au controle URSSAF.</t>
        </is>
      </c>
      <c r="L207" s="11" t="inlineStr">
        <is>
          <t>non identifié publiquement</t>
        </is>
      </c>
      <c r="M207" s="10" t="inlineStr">
        <is>
          <t>Social, paie, conformite</t>
        </is>
      </c>
      <c r="N207" s="10" t="inlineStr">
        <is>
          <t>non identifié publiquement</t>
        </is>
      </c>
      <c r="O207" s="10" t="inlineStr">
        <is>
          <t>non identifié publiquement</t>
        </is>
      </c>
      <c r="P207" s="10" t="inlineStr"/>
      <c r="Q207" s="11" t="inlineStr"/>
      <c r="R207" s="10" t="inlineStr">
        <is>
          <t>inscription libre</t>
        </is>
      </c>
      <c r="S207" s="10" t="inlineStr">
        <is>
          <t>non</t>
        </is>
      </c>
      <c r="T207" s="11" t="inlineStr"/>
      <c r="U207" s="10" t="inlineStr">
        <is>
          <t>non identifié publiquement</t>
        </is>
      </c>
      <c r="V207" s="10" t="inlineStr">
        <is>
          <t>https://www.entreprises.cci-paris-idf.fr/evenements/controle-urssaf-ne-le-subissez-plus-anticipez-le</t>
        </is>
      </c>
      <c r="W207" s="10" t="inlineStr">
        <is>
          <t>2026-09-15</t>
        </is>
      </c>
      <c r="X207" s="11" t="inlineStr"/>
      <c r="Y207" s="7" t="inlineStr">
        <is>
          <t>9</t>
        </is>
      </c>
      <c r="Z207" s="7" t="inlineStr">
        <is>
          <t>Services professionnels / Conseil / Juridique / Comptabilité</t>
        </is>
      </c>
      <c r="AA207" s="7" t="inlineStr"/>
      <c r="AB207" s="7" t="inlineStr"/>
      <c r="AC207" s="7" t="inlineStr"/>
      <c r="AD207" s="7" t="inlineStr">
        <is>
          <t>2</t>
        </is>
      </c>
      <c r="AE207" s="7" t="inlineStr">
        <is>
          <t>0</t>
        </is>
      </c>
      <c r="AF207" s="7" t="inlineStr">
        <is>
          <t>Générique / Multi-éditeurs / Sans dominante</t>
        </is>
      </c>
      <c r="AG207" s="8" t="inlineStr">
        <is>
          <t>estimé</t>
        </is>
      </c>
      <c r="AH207" s="12" t="inlineStr">
        <is>
          <t>Aucune dimension logicielle dans le positionnement de l'organisateur : rattache au 0 (sans dominante) plutot que laisse vide, conformement a la demande de non-vide</t>
        </is>
      </c>
      <c r="AI207" s="7" t="inlineStr">
        <is>
          <t>2</t>
        </is>
      </c>
      <c r="AJ207" s="7" t="inlineStr">
        <is>
          <t>16-40</t>
        </is>
      </c>
      <c r="AK207" s="8" t="inlineStr">
        <is>
          <t>estimé</t>
        </is>
      </c>
      <c r="AL207" s="7" t="inlineStr">
        <is>
          <t>estimation : 15 a 60 participants</t>
        </is>
      </c>
      <c r="AM207" s="11" t="inlineStr">
        <is>
          <t>Modele de format (rendez-vous de chambre de commerce (atelier ou conference)), fourchette 15-60, plafonnee par la capacite du lieu (CCI Versailles-Yvelines, avenue de Paris ~ 120)</t>
        </is>
      </c>
      <c r="AN207" s="7" t="inlineStr">
        <is>
          <t>moyenne</t>
        </is>
      </c>
      <c r="AO207" s="7" t="inlineStr">
        <is>
          <t>1</t>
        </is>
      </c>
      <c r="AP207" s="7" t="inlineStr">
        <is>
          <t>Décideurs PME/ETI</t>
        </is>
      </c>
      <c r="AQ207" s="8" t="inlineStr">
        <is>
          <t>estimé</t>
        </is>
      </c>
      <c r="AR207" s="12" t="inlineStr">
        <is>
          <t>Organisateur CCI : public cible structurel de dirigeants et collaborateurs de TPE-PME</t>
        </is>
      </c>
      <c r="AS207" s="7" t="inlineStr">
        <is>
          <t>2</t>
        </is>
      </c>
      <c r="AT207" s="7" t="inlineStr">
        <is>
          <t>Moyen</t>
        </is>
      </c>
      <c r="AU207" s="7" t="inlineStr">
        <is>
          <t>constaté</t>
        </is>
      </c>
      <c r="AV207" s="12" t="inlineStr"/>
      <c r="AW207" s="7" t="inlineStr">
        <is>
          <t>S:9 L:0 N:2 P:1 A:2</t>
        </is>
      </c>
    </row>
    <row r="208">
      <c r="A208" s="10" t="inlineStr">
        <is>
          <t>Tech for Retail 2026</t>
        </is>
      </c>
      <c r="B208" s="10" t="inlineStr">
        <is>
          <t>Easyfairs</t>
        </is>
      </c>
      <c r="C208" s="10" t="inlineStr">
        <is>
          <t>2026-11-30</t>
        </is>
      </c>
      <c r="D208" s="10" t="inlineStr">
        <is>
          <t>2026-12-01</t>
        </is>
      </c>
      <c r="E208" s="10" t="inlineStr"/>
      <c r="F208" s="10" t="inlineStr">
        <is>
          <t>annuel</t>
        </is>
      </c>
      <c r="G208" s="10" t="inlineStr">
        <is>
          <t>Paris Expo Porte de Versailles - Hall 7.2</t>
        </is>
      </c>
      <c r="H208" s="10" t="inlineStr">
        <is>
          <t>Paris 15e</t>
        </is>
      </c>
      <c r="I208" s="10" t="inlineStr">
        <is>
          <t>75</t>
        </is>
      </c>
      <c r="J208" s="10" t="inlineStr">
        <is>
          <t>présentiel</t>
        </is>
      </c>
      <c r="K208" s="11" t="inlineStr">
        <is>
          <t>Salon europeen des technologies du retail : commerce unifie, omnicanal, supply chain, fidelisation, IA agentique.</t>
        </is>
      </c>
      <c r="L208" s="11" t="inlineStr">
        <is>
          <t>15000+ executives &amp; C-level visitors ; professionnels du retail, fournisseurs de technologies et startups</t>
        </is>
      </c>
      <c r="M208" s="10" t="inlineStr">
        <is>
          <t>Retail, commerce, e-commerce, distribution</t>
        </is>
      </c>
      <c r="N208" s="10" t="inlineStr">
        <is>
          <t>IA agentique, commerce unifie, omnicanal, supply chain, CRM/fidelisation, complexite SI</t>
        </is>
      </c>
      <c r="O208" s="10" t="inlineStr">
        <is>
          <t>15 000+ visiteurs executives et C-level, 420+ exposants, 75+ startups</t>
        </is>
      </c>
      <c r="P208" s="10" t="inlineStr">
        <is>
          <t>CONFIRME</t>
        </is>
      </c>
      <c r="Q208" s="11" t="inlineStr">
        <is>
          <t>Chiffres affiches par l'organisateur sur le site officiel de l'edition 2026</t>
        </is>
      </c>
      <c r="R208" s="10" t="inlineStr">
        <is>
          <t>billet payant</t>
        </is>
      </c>
      <c r="S208" s="10" t="inlineStr">
        <is>
          <t>non</t>
        </is>
      </c>
      <c r="T208" s="11" t="inlineStr"/>
      <c r="U208" s="10" t="inlineStr">
        <is>
          <t>non identifié publiquement</t>
        </is>
      </c>
      <c r="V208" s="10" t="inlineStr">
        <is>
          <t>https://www.techforretail.com/</t>
        </is>
      </c>
      <c r="W208" s="10" t="inlineStr">
        <is>
          <t>2026-09-15</t>
        </is>
      </c>
      <c r="X208" s="11" t="inlineStr">
        <is>
          <t>Programme 2026 centre sur l'IA agentique en siege, le commerce unifie et les arbitrages SI. Tres fort alignement avec une offre de conseil IA.</t>
        </is>
      </c>
      <c r="Y208" s="7" t="inlineStr">
        <is>
          <t>4|5</t>
        </is>
      </c>
      <c r="Z208" s="7" t="inlineStr">
        <is>
          <t>Tech / IT / Logiciels / Télécom + Commerce / Distribution / E-commerce</t>
        </is>
      </c>
      <c r="AA208" s="7" t="inlineStr">
        <is>
          <t>0</t>
        </is>
      </c>
      <c r="AB208" s="7" t="inlineStr">
        <is>
          <t>6</t>
        </is>
      </c>
      <c r="AC208" s="7" t="inlineStr">
        <is>
          <t>2|5</t>
        </is>
      </c>
      <c r="AD208" s="7" t="inlineStr">
        <is>
          <t>2</t>
        </is>
      </c>
      <c r="AE208" s="7" t="inlineStr">
        <is>
          <t>0</t>
        </is>
      </c>
      <c r="AF208" s="7" t="inlineStr">
        <is>
          <t>Générique / Multi-éditeurs / Sans dominante</t>
        </is>
      </c>
      <c r="AG208" s="7" t="inlineStr">
        <is>
          <t>constaté</t>
        </is>
      </c>
      <c r="AH208" s="12" t="inlineStr"/>
      <c r="AI208" s="7" t="inlineStr">
        <is>
          <t>6</t>
        </is>
      </c>
      <c r="AJ208" s="7" t="inlineStr">
        <is>
          <t>&gt;2000</t>
        </is>
      </c>
      <c r="AK208" s="7" t="inlineStr">
        <is>
          <t>constaté</t>
        </is>
      </c>
      <c r="AL208" s="7" t="inlineStr">
        <is>
          <t>15 000+ visiteurs executives et C-level, 420+ exposants, 75+ startups</t>
        </is>
      </c>
      <c r="AM208" s="11" t="inlineStr">
        <is>
          <t>Chiffre publie par l'organisateur (colonne taille_source)</t>
        </is>
      </c>
      <c r="AN208" s="7" t="inlineStr">
        <is>
          <t>haute</t>
        </is>
      </c>
      <c r="AO208" s="7" t="inlineStr">
        <is>
          <t>2|5</t>
        </is>
      </c>
      <c r="AP208" s="7" t="inlineStr">
        <is>
          <t>Décideurs Grands comptes + Pairs / Concurrents / Acteurs de l'offre</t>
        </is>
      </c>
      <c r="AQ208" s="7" t="inlineStr">
        <is>
          <t>constaté</t>
        </is>
      </c>
      <c r="AR208" s="12" t="inlineStr"/>
      <c r="AS208" s="7" t="inlineStr">
        <is>
          <t>2</t>
        </is>
      </c>
      <c r="AT208" s="7" t="inlineStr">
        <is>
          <t>Moyen</t>
        </is>
      </c>
      <c r="AU208" s="7" t="inlineStr">
        <is>
          <t>constaté</t>
        </is>
      </c>
      <c r="AV208" s="12" t="inlineStr"/>
      <c r="AW208" s="7" t="inlineStr">
        <is>
          <t>S:4|5 L:0 N:6 P:2|5 A:2</t>
        </is>
      </c>
    </row>
    <row r="209">
      <c r="A209" s="10" t="inlineStr">
        <is>
          <t>Tech.Rocks Summit 2026</t>
        </is>
      </c>
      <c r="B209" s="10" t="inlineStr">
        <is>
          <t>Tech.Rocks</t>
        </is>
      </c>
      <c r="C209" s="10" t="inlineStr">
        <is>
          <t>2026-11-30</t>
        </is>
      </c>
      <c r="D209" s="10" t="inlineStr">
        <is>
          <t>2026-12-01</t>
        </is>
      </c>
      <c r="E209" s="10" t="inlineStr"/>
      <c r="F209" s="10" t="inlineStr">
        <is>
          <t>non identifié publiquement</t>
        </is>
      </c>
      <c r="G209" s="10" t="inlineStr">
        <is>
          <t>Théâtre de Paris</t>
        </is>
      </c>
      <c r="H209" s="10" t="inlineStr">
        <is>
          <t>Paris (arrondissement selon le lieu)</t>
        </is>
      </c>
      <c r="I209" s="10" t="inlineStr">
        <is>
          <t>75</t>
        </is>
      </c>
      <c r="J209" s="10" t="inlineStr">
        <is>
          <t>présentiel</t>
        </is>
      </c>
      <c r="K209" s="11" t="inlineStr">
        <is>
          <t>Tech.Rocks Summit 2026 à Paris, 30 nov-1er déc. Conférence leadership tech, data &amp; IA pour CTO, VP Engineering et managers techniques.</t>
        </is>
      </c>
      <c r="L209" s="11" t="inlineStr">
        <is>
          <t>non identifié publiquement</t>
        </is>
      </c>
      <c r="M209" s="10" t="inlineStr">
        <is>
          <t>Numerique, informatique, technologies</t>
        </is>
      </c>
      <c r="N209" s="10" t="inlineStr">
        <is>
          <t>Tech.Rocks Summit 2026 - Tech.Rocks Summit 2026 à Paris, 30 nov-1er déc. Conférence leadership tech, data &amp; IA pour CTO, VP Engineering</t>
        </is>
      </c>
      <c r="O209" s="10" t="inlineStr">
        <is>
          <t>non identifié publiquement</t>
        </is>
      </c>
      <c r="P209" s="10" t="inlineStr">
        <is>
          <t>ESTIME</t>
        </is>
      </c>
      <c r="Q209" s="11" t="inlineStr">
        <is>
          <t>Effectif attendu publie par l'agregateur specialise Agenda Tech pour cette edition</t>
        </is>
      </c>
      <c r="R209" s="10" t="inlineStr">
        <is>
          <t>non identifié publiquement</t>
        </is>
      </c>
      <c r="S209" s="10" t="inlineStr">
        <is>
          <t>non</t>
        </is>
      </c>
      <c r="T209" s="11" t="inlineStr"/>
      <c r="U209" s="10" t="inlineStr">
        <is>
          <t>non identifié publiquement</t>
        </is>
      </c>
      <c r="V209" s="10" t="inlineStr">
        <is>
          <t>https://www.agenda-tech.com/events/tech-rocks-summit-2026</t>
        </is>
      </c>
      <c r="W209" s="10" t="inlineStr">
        <is>
          <t>2026-09-15</t>
        </is>
      </c>
      <c r="X209" s="11" t="inlineStr">
        <is>
          <t>Identifie via l'agregateur specialise Agenda Tech (donnees structurees schema.org publiees par l'organisateur).</t>
        </is>
      </c>
      <c r="Y209" s="7" t="inlineStr">
        <is>
          <t>4</t>
        </is>
      </c>
      <c r="Z209" s="7" t="inlineStr">
        <is>
          <t>Tech / IT / Logiciels / Télécom</t>
        </is>
      </c>
      <c r="AA209" s="7" t="inlineStr">
        <is>
          <t>9</t>
        </is>
      </c>
      <c r="AB209" s="7" t="inlineStr"/>
      <c r="AC209" s="7" t="inlineStr">
        <is>
          <t>1</t>
        </is>
      </c>
      <c r="AD209" s="7" t="inlineStr"/>
      <c r="AE209" s="7" t="inlineStr">
        <is>
          <t>9</t>
        </is>
      </c>
      <c r="AF209" s="7" t="inlineStr">
        <is>
          <t>Data / BI / Analytics</t>
        </is>
      </c>
      <c r="AG209" s="7" t="inlineStr">
        <is>
          <t>constaté</t>
        </is>
      </c>
      <c r="AH209" s="12" t="inlineStr"/>
      <c r="AI209" s="7" t="inlineStr">
        <is>
          <t>5</t>
        </is>
      </c>
      <c r="AJ209" s="7" t="inlineStr">
        <is>
          <t>401-2000</t>
        </is>
      </c>
      <c r="AK209" s="8" t="inlineStr">
        <is>
          <t>estimé</t>
        </is>
      </c>
      <c r="AL209" s="7" t="inlineStr">
        <is>
          <t>environ 700 participants</t>
        </is>
      </c>
      <c r="AM209" s="11" t="inlineStr">
        <is>
          <t>Effectif attendu publie par Agenda Tech (agregateur specialise, chiffre de l'organisateur ou de l'agregateur)</t>
        </is>
      </c>
      <c r="AN209" s="7" t="inlineStr">
        <is>
          <t>moyenne</t>
        </is>
      </c>
      <c r="AO209" s="7" t="inlineStr">
        <is>
          <t>1</t>
        </is>
      </c>
      <c r="AP209" s="7" t="inlineStr">
        <is>
          <t>Décideurs PME/ETI</t>
        </is>
      </c>
      <c r="AQ209" s="7" t="inlineStr">
        <is>
          <t>constaté</t>
        </is>
      </c>
      <c r="AR209" s="12" t="inlineStr"/>
      <c r="AS209" s="7" t="inlineStr">
        <is>
          <t>2</t>
        </is>
      </c>
      <c r="AT209" s="7" t="inlineStr">
        <is>
          <t>Moyen</t>
        </is>
      </c>
      <c r="AU209" s="8" t="inlineStr">
        <is>
          <t>estimé</t>
        </is>
      </c>
      <c r="AV209" s="12" t="inlineStr">
        <is>
          <t>Tarif payant publie par Agenda Tech</t>
        </is>
      </c>
      <c r="AW209" s="7" t="inlineStr">
        <is>
          <t>S:4 L:9 N:5 P:1 A:2</t>
        </is>
      </c>
    </row>
    <row r="210">
      <c r="A210" s="10" t="inlineStr">
        <is>
          <t>AI Data Leaders Summit</t>
        </is>
      </c>
      <c r="B210" s="10" t="inlineStr">
        <is>
          <t>AI Data Leaders Summit</t>
        </is>
      </c>
      <c r="C210" s="10" t="inlineStr">
        <is>
          <t>2026-12-01</t>
        </is>
      </c>
      <c r="D210" s="10" t="inlineStr"/>
      <c r="E210" s="10" t="inlineStr"/>
      <c r="F210" s="10" t="inlineStr">
        <is>
          <t>non identifié publiquement</t>
        </is>
      </c>
      <c r="G210" s="10" t="inlineStr">
        <is>
          <t>CNIT Forest - Paris La Defense</t>
        </is>
      </c>
      <c r="H210" s="10" t="inlineStr">
        <is>
          <t>Puteaux</t>
        </is>
      </c>
      <c r="I210" s="10" t="inlineStr">
        <is>
          <t>92</t>
        </is>
      </c>
      <c r="J210" s="10" t="inlineStr">
        <is>
          <t>présentiel</t>
        </is>
      </c>
      <c r="K210" s="11" t="inlineStr">
        <is>
          <t>Sommet des CDO et leaders Data/IA. 1er décembre 2026 à Paris La Défense. 500+ décideurs, 45 intervenants, 26 sessions sur gouvernance IA, stratégie data.</t>
        </is>
      </c>
      <c r="L210" s="11" t="inlineStr">
        <is>
          <t>non identifié publiquement</t>
        </is>
      </c>
      <c r="M210" s="10" t="inlineStr">
        <is>
          <t>Numerique, informatique, technologies</t>
        </is>
      </c>
      <c r="N210" s="10" t="inlineStr">
        <is>
          <t>AI Data Leaders Summit - Sommet des CDO et leaders Data/IA. 1er décembre 2026 à Paris La Défense. 500+ décideurs, 45 intervenants, 26 s</t>
        </is>
      </c>
      <c r="O210" s="10" t="inlineStr">
        <is>
          <t>non identifié publiquement</t>
        </is>
      </c>
      <c r="P210" s="10" t="inlineStr"/>
      <c r="Q210" s="11" t="inlineStr"/>
      <c r="R210" s="10" t="inlineStr">
        <is>
          <t>non identifié publiquement</t>
        </is>
      </c>
      <c r="S210" s="10" t="inlineStr">
        <is>
          <t>non</t>
        </is>
      </c>
      <c r="T210" s="11" t="inlineStr"/>
      <c r="U210" s="10" t="inlineStr">
        <is>
          <t>non identifié publiquement</t>
        </is>
      </c>
      <c r="V210" s="10" t="inlineStr">
        <is>
          <t>https://www.agenda-tech.com/events/ai-data-leaders-summit-2026</t>
        </is>
      </c>
      <c r="W210" s="10" t="inlineStr">
        <is>
          <t>2026-09-15</t>
        </is>
      </c>
      <c r="X210" s="11" t="inlineStr">
        <is>
          <t>Identifie via l'agregateur specialise Agenda Tech (donnees structurees schema.org publiees par l'organisateur).</t>
        </is>
      </c>
      <c r="Y210" s="7" t="inlineStr">
        <is>
          <t>16|4</t>
        </is>
      </c>
      <c r="Z210" s="7" t="inlineStr">
        <is>
          <t>IA / Intelligence artificielle + Tech / IT / Logiciels / Télécom</t>
        </is>
      </c>
      <c r="AA210" s="7" t="inlineStr">
        <is>
          <t>9</t>
        </is>
      </c>
      <c r="AB210" s="7" t="inlineStr"/>
      <c r="AC210" s="7" t="inlineStr">
        <is>
          <t>1</t>
        </is>
      </c>
      <c r="AD210" s="7" t="inlineStr"/>
      <c r="AE210" s="7" t="inlineStr">
        <is>
          <t>9</t>
        </is>
      </c>
      <c r="AF210" s="7" t="inlineStr">
        <is>
          <t>Data / BI / Analytics</t>
        </is>
      </c>
      <c r="AG210" s="7" t="inlineStr">
        <is>
          <t>constaté</t>
        </is>
      </c>
      <c r="AH210" s="12" t="inlineStr"/>
      <c r="AI210" s="7" t="inlineStr">
        <is>
          <t>4</t>
        </is>
      </c>
      <c r="AJ210" s="7" t="inlineStr">
        <is>
          <t>121-400</t>
        </is>
      </c>
      <c r="AK210" s="8" t="inlineStr">
        <is>
          <t>estimé</t>
        </is>
      </c>
      <c r="AL210" s="7" t="inlineStr">
        <is>
          <t>estimation : 150 a 500 participants</t>
        </is>
      </c>
      <c r="AM210" s="11" t="inlineStr">
        <is>
          <t>Modele de format (sommet de dirigeants sur invitation), fourchette 150-500, plafonnee par la capacite du lieu (CNIT Forest - Paris La Defense ~ 2500)</t>
        </is>
      </c>
      <c r="AN210" s="7" t="inlineStr">
        <is>
          <t>moyenne</t>
        </is>
      </c>
      <c r="AO210" s="7" t="inlineStr">
        <is>
          <t>1</t>
        </is>
      </c>
      <c r="AP210" s="7" t="inlineStr">
        <is>
          <t>Décideurs PME/ETI</t>
        </is>
      </c>
      <c r="AQ210" s="7" t="inlineStr">
        <is>
          <t>constaté</t>
        </is>
      </c>
      <c r="AR210" s="12" t="inlineStr"/>
      <c r="AS210" s="7" t="inlineStr">
        <is>
          <t>1</t>
        </is>
      </c>
      <c r="AT210" s="7" t="inlineStr">
        <is>
          <t>Facile</t>
        </is>
      </c>
      <c r="AU210" s="8" t="inlineStr">
        <is>
          <t>estimé</t>
        </is>
      </c>
      <c r="AV210" s="12" t="inlineStr">
        <is>
          <t>Tarif 'Gratuit' publie par Agenda Tech</t>
        </is>
      </c>
      <c r="AW210" s="7" t="inlineStr">
        <is>
          <t>S:16|4 L:9 N:4 P:1 A:1</t>
        </is>
      </c>
    </row>
    <row r="211">
      <c r="A211" s="10" t="inlineStr">
        <is>
          <t>APIDays Paris</t>
        </is>
      </c>
      <c r="B211" s="10" t="inlineStr">
        <is>
          <t>APIdays</t>
        </is>
      </c>
      <c r="C211" s="10" t="inlineStr">
        <is>
          <t>2026-12-01</t>
        </is>
      </c>
      <c r="D211" s="10" t="inlineStr">
        <is>
          <t>2026-12-03</t>
        </is>
      </c>
      <c r="E211" s="10" t="inlineStr"/>
      <c r="F211" s="10" t="inlineStr">
        <is>
          <t>non identifié publiquement</t>
        </is>
      </c>
      <c r="G211" s="10" t="inlineStr">
        <is>
          <t>CNIT Forest - Paris La Defense</t>
        </is>
      </c>
      <c r="H211" s="10" t="inlineStr">
        <is>
          <t>Puteaux</t>
        </is>
      </c>
      <c r="I211" s="10" t="inlineStr">
        <is>
          <t>92</t>
        </is>
      </c>
      <c r="J211" s="10" t="inlineStr">
        <is>
          <t>présentiel</t>
        </is>
      </c>
      <c r="K211" s="11" t="inlineStr">
        <is>
          <t>APIDays Paris 30 nov-3 déc 2026 au CNIT La Défense. Conférence B2B sur les API, économie numérique et innovations technologiques pour DSI et développeurs.</t>
        </is>
      </c>
      <c r="L211" s="11" t="inlineStr">
        <is>
          <t>non identifié publiquement</t>
        </is>
      </c>
      <c r="M211" s="10" t="inlineStr">
        <is>
          <t>Numerique, informatique, technologies</t>
        </is>
      </c>
      <c r="N211" s="10" t="inlineStr">
        <is>
          <t>non identifié publiquement</t>
        </is>
      </c>
      <c r="O211" s="10" t="inlineStr">
        <is>
          <t>non identifié publiquement</t>
        </is>
      </c>
      <c r="P211" s="10" t="inlineStr">
        <is>
          <t>ESTIME</t>
        </is>
      </c>
      <c r="Q211" s="11" t="inlineStr">
        <is>
          <t>Effectif attendu publie par l'agregateur specialise Agenda Tech pour cette edition</t>
        </is>
      </c>
      <c r="R211" s="10" t="inlineStr">
        <is>
          <t>non identifié publiquement</t>
        </is>
      </c>
      <c r="S211" s="10" t="inlineStr">
        <is>
          <t>non</t>
        </is>
      </c>
      <c r="T211" s="11" t="inlineStr"/>
      <c r="U211" s="10" t="inlineStr">
        <is>
          <t>non identifié publiquement</t>
        </is>
      </c>
      <c r="V211" s="10" t="inlineStr">
        <is>
          <t>https://www.agenda-tech.com/events/apidays-paris-2026</t>
        </is>
      </c>
      <c r="W211" s="10" t="inlineStr">
        <is>
          <t>2026-09-15</t>
        </is>
      </c>
      <c r="X211" s="11" t="inlineStr">
        <is>
          <t>Identifie via l'agregateur specialise Agenda Tech (donnees structurees schema.org publiees par l'organisateur).</t>
        </is>
      </c>
      <c r="Y211" s="7" t="inlineStr">
        <is>
          <t>4</t>
        </is>
      </c>
      <c r="Z211" s="7" t="inlineStr">
        <is>
          <t>Tech / IT / Logiciels / Télécom</t>
        </is>
      </c>
      <c r="AA211" s="7" t="inlineStr">
        <is>
          <t>0</t>
        </is>
      </c>
      <c r="AB211" s="7" t="inlineStr"/>
      <c r="AC211" s="7" t="inlineStr">
        <is>
          <t>1</t>
        </is>
      </c>
      <c r="AD211" s="7" t="inlineStr"/>
      <c r="AE211" s="7" t="inlineStr">
        <is>
          <t>0</t>
        </is>
      </c>
      <c r="AF211" s="7" t="inlineStr">
        <is>
          <t>Générique / Multi-éditeurs / Sans dominante</t>
        </is>
      </c>
      <c r="AG211" s="7" t="inlineStr">
        <is>
          <t>déduit</t>
        </is>
      </c>
      <c r="AH211" s="12" t="inlineStr">
        <is>
          <t>Deduit du secteur (axe 1)</t>
        </is>
      </c>
      <c r="AI211" s="7" t="inlineStr">
        <is>
          <t>6</t>
        </is>
      </c>
      <c r="AJ211" s="7" t="inlineStr">
        <is>
          <t>&gt;2000</t>
        </is>
      </c>
      <c r="AK211" s="8" t="inlineStr">
        <is>
          <t>estimé</t>
        </is>
      </c>
      <c r="AL211" s="7" t="inlineStr">
        <is>
          <t>environ 4000 participants</t>
        </is>
      </c>
      <c r="AM211" s="11" t="inlineStr">
        <is>
          <t>Effectif attendu publie par Agenda Tech (agregateur specialise, chiffre de l'organisateur ou de l'agregateur)</t>
        </is>
      </c>
      <c r="AN211" s="7" t="inlineStr">
        <is>
          <t>moyenne</t>
        </is>
      </c>
      <c r="AO211" s="7" t="inlineStr">
        <is>
          <t>1</t>
        </is>
      </c>
      <c r="AP211" s="7" t="inlineStr">
        <is>
          <t>Décideurs PME/ETI</t>
        </is>
      </c>
      <c r="AQ211" s="7" t="inlineStr">
        <is>
          <t>constaté</t>
        </is>
      </c>
      <c r="AR211" s="12" t="inlineStr"/>
      <c r="AS211" s="7" t="inlineStr">
        <is>
          <t>2</t>
        </is>
      </c>
      <c r="AT211" s="7" t="inlineStr">
        <is>
          <t>Moyen</t>
        </is>
      </c>
      <c r="AU211" s="8" t="inlineStr">
        <is>
          <t>estimé</t>
        </is>
      </c>
      <c r="AV211" s="12" t="inlineStr">
        <is>
          <t>Tarif payant publie par Agenda Tech</t>
        </is>
      </c>
      <c r="AW211" s="7" t="inlineStr">
        <is>
          <t>S:4 L:0 N:6 P:1 A:2</t>
        </is>
      </c>
    </row>
    <row r="212">
      <c r="A212" s="10" t="inlineStr">
        <is>
          <t>Dirigeants : anticiper, s'entourer, avancer vers 2027</t>
        </is>
      </c>
      <c r="B212" s="10" t="inlineStr">
        <is>
          <t>CCI Paris Ile-de-France</t>
        </is>
      </c>
      <c r="C212" s="10" t="inlineStr">
        <is>
          <t>2026-12-01</t>
        </is>
      </c>
      <c r="D212" s="10" t="inlineStr"/>
      <c r="E212" s="10" t="inlineStr"/>
      <c r="F212" s="10" t="inlineStr">
        <is>
          <t>non identifié publiquement</t>
        </is>
      </c>
      <c r="G212" s="10" t="inlineStr">
        <is>
          <t>CCI Val-d'Oise, 35 boulevard du Port</t>
        </is>
      </c>
      <c r="H212" s="10" t="inlineStr">
        <is>
          <t>Cergy</t>
        </is>
      </c>
      <c r="I212" s="10" t="inlineStr">
        <is>
          <t>95</t>
        </is>
      </c>
      <c r="J212" s="10" t="inlineStr">
        <is>
          <t>présentiel</t>
        </is>
      </c>
      <c r="K212" s="11" t="inlineStr">
        <is>
          <t>Conference de dirigeants sur la preparation de l'exercice 2027.</t>
        </is>
      </c>
      <c r="L212" s="11" t="inlineStr">
        <is>
          <t>dirigeants</t>
        </is>
      </c>
      <c r="M212" s="10" t="inlineStr">
        <is>
          <t>Tous secteurs</t>
        </is>
      </c>
      <c r="N212" s="10" t="inlineStr">
        <is>
          <t>non identifié publiquement</t>
        </is>
      </c>
      <c r="O212" s="10" t="inlineStr">
        <is>
          <t>non identifié publiquement</t>
        </is>
      </c>
      <c r="P212" s="10" t="inlineStr"/>
      <c r="Q212" s="11" t="inlineStr"/>
      <c r="R212" s="10" t="inlineStr">
        <is>
          <t>inscription libre</t>
        </is>
      </c>
      <c r="S212" s="10" t="inlineStr">
        <is>
          <t>non</t>
        </is>
      </c>
      <c r="T212" s="11" t="inlineStr"/>
      <c r="U212" s="10" t="inlineStr">
        <is>
          <t>non identifié publiquement</t>
        </is>
      </c>
      <c r="V212" s="10" t="inlineStr">
        <is>
          <t>https://www.entreprises.cci-paris-idf.fr/evenements/dirigeants-anticiper-sentourer-avancer-vers-2027</t>
        </is>
      </c>
      <c r="W212" s="10" t="inlineStr">
        <is>
          <t>2026-09-15</t>
        </is>
      </c>
      <c r="X212" s="11" t="inlineStr"/>
      <c r="Y212" s="7" t="inlineStr">
        <is>
          <t>0</t>
        </is>
      </c>
      <c r="Z212" s="7" t="inlineStr">
        <is>
          <t>Générique / Transversal</t>
        </is>
      </c>
      <c r="AA212" s="7" t="inlineStr"/>
      <c r="AB212" s="7" t="inlineStr"/>
      <c r="AC212" s="7" t="inlineStr">
        <is>
          <t>1</t>
        </is>
      </c>
      <c r="AD212" s="7" t="inlineStr">
        <is>
          <t>2</t>
        </is>
      </c>
      <c r="AE212" s="7" t="inlineStr">
        <is>
          <t>0</t>
        </is>
      </c>
      <c r="AF212" s="7" t="inlineStr">
        <is>
          <t>Générique / Multi-éditeurs / Sans dominante</t>
        </is>
      </c>
      <c r="AG212" s="8" t="inlineStr">
        <is>
          <t>estimé</t>
        </is>
      </c>
      <c r="AH212" s="12" t="inlineStr">
        <is>
          <t>Aucune dimension logicielle dans le positionnement de l'organisateur : rattache au 0 (sans dominante) plutot que laisse vide, conformement a la demande de non-vide</t>
        </is>
      </c>
      <c r="AI212" s="7" t="inlineStr">
        <is>
          <t>3</t>
        </is>
      </c>
      <c r="AJ212" s="7" t="inlineStr">
        <is>
          <t>41-120</t>
        </is>
      </c>
      <c r="AK212" s="8" t="inlineStr">
        <is>
          <t>estimé</t>
        </is>
      </c>
      <c r="AL212" s="7" t="inlineStr">
        <is>
          <t>estimation : 120 a 120 participants</t>
        </is>
      </c>
      <c r="AM212" s="11" t="inlineStr">
        <is>
          <t>Modele de format (conference technique ou sectorielle), fourchette 120-120, plafonnee par la capacite du lieu (CCI Val-d'Oise, 35 boulevard du Port ~ 120)</t>
        </is>
      </c>
      <c r="AN212" s="7" t="inlineStr">
        <is>
          <t>moyenne</t>
        </is>
      </c>
      <c r="AO212" s="7" t="inlineStr">
        <is>
          <t>1</t>
        </is>
      </c>
      <c r="AP212" s="7" t="inlineStr">
        <is>
          <t>Décideurs PME/ETI</t>
        </is>
      </c>
      <c r="AQ212" s="7" t="inlineStr">
        <is>
          <t>constaté</t>
        </is>
      </c>
      <c r="AR212" s="12" t="inlineStr"/>
      <c r="AS212" s="7" t="inlineStr">
        <is>
          <t>2</t>
        </is>
      </c>
      <c r="AT212" s="7" t="inlineStr">
        <is>
          <t>Moyen</t>
        </is>
      </c>
      <c r="AU212" s="7" t="inlineStr">
        <is>
          <t>constaté</t>
        </is>
      </c>
      <c r="AV212" s="12" t="inlineStr"/>
      <c r="AW212" s="7" t="inlineStr">
        <is>
          <t>S:0 L:0 N:3 P:1 A:2</t>
        </is>
      </c>
    </row>
    <row r="213">
      <c r="A213" s="10" t="inlineStr">
        <is>
          <t>GenerationAI Conference Paris</t>
        </is>
      </c>
      <c r="B213" s="10" t="inlineStr">
        <is>
          <t>Apidays</t>
        </is>
      </c>
      <c r="C213" s="10" t="inlineStr">
        <is>
          <t>2026-12-01</t>
        </is>
      </c>
      <c r="D213" s="10" t="inlineStr">
        <is>
          <t>2026-12-03</t>
        </is>
      </c>
      <c r="E213" s="10" t="inlineStr"/>
      <c r="F213" s="10" t="inlineStr">
        <is>
          <t>non identifié publiquement</t>
        </is>
      </c>
      <c r="G213" s="10" t="inlineStr">
        <is>
          <t>CNIT Forest - Paris La Defense</t>
        </is>
      </c>
      <c r="H213" s="10" t="inlineStr">
        <is>
          <t>Puteaux</t>
        </is>
      </c>
      <c r="I213" s="10" t="inlineStr">
        <is>
          <t>92</t>
        </is>
      </c>
      <c r="J213" s="10" t="inlineStr">
        <is>
          <t>présentiel</t>
        </is>
      </c>
      <c r="K213" s="11" t="inlineStr">
        <is>
          <t>30 novembre 2026 à Paris. Conférence IA B2B pour développeurs et architectes. Intégrez l'IA en production avec des retours d'expérience éprouvés.</t>
        </is>
      </c>
      <c r="L213" s="11" t="inlineStr">
        <is>
          <t>non identifié publiquement</t>
        </is>
      </c>
      <c r="M213" s="10" t="inlineStr">
        <is>
          <t>Numerique, informatique, technologies</t>
        </is>
      </c>
      <c r="N213" s="10" t="inlineStr">
        <is>
          <t>GenerationAI Conference Paris - 30 novembre 2026 à Paris. Conférence IA B2B pour développeurs et architectes. Intégrez l'IA en production avec</t>
        </is>
      </c>
      <c r="O213" s="10" t="inlineStr">
        <is>
          <t>non identifié publiquement</t>
        </is>
      </c>
      <c r="P213" s="10" t="inlineStr">
        <is>
          <t>ESTIME</t>
        </is>
      </c>
      <c r="Q213" s="11" t="inlineStr">
        <is>
          <t>Effectif attendu publie par l'agregateur specialise Agenda Tech pour cette edition</t>
        </is>
      </c>
      <c r="R213" s="10" t="inlineStr">
        <is>
          <t>non identifié publiquement</t>
        </is>
      </c>
      <c r="S213" s="10" t="inlineStr">
        <is>
          <t>non</t>
        </is>
      </c>
      <c r="T213" s="11" t="inlineStr"/>
      <c r="U213" s="10" t="inlineStr">
        <is>
          <t>non identifié publiquement</t>
        </is>
      </c>
      <c r="V213" s="10" t="inlineStr">
        <is>
          <t>https://www.agenda-tech.com/events/generationai-conference-paris-2026</t>
        </is>
      </c>
      <c r="W213" s="10" t="inlineStr">
        <is>
          <t>2026-09-15</t>
        </is>
      </c>
      <c r="X213" s="11" t="inlineStr">
        <is>
          <t>Identifie via l'agregateur specialise Agenda Tech (donnees structurees schema.org publiees par l'organisateur).</t>
        </is>
      </c>
      <c r="Y213" s="7" t="inlineStr">
        <is>
          <t>16|4</t>
        </is>
      </c>
      <c r="Z213" s="7" t="inlineStr">
        <is>
          <t>IA / Intelligence artificielle + Tech / IT / Logiciels / Télécom</t>
        </is>
      </c>
      <c r="AA213" s="7" t="inlineStr">
        <is>
          <t>11</t>
        </is>
      </c>
      <c r="AB213" s="7" t="inlineStr"/>
      <c r="AC213" s="7" t="inlineStr">
        <is>
          <t>4</t>
        </is>
      </c>
      <c r="AD213" s="7" t="inlineStr"/>
      <c r="AE213" s="7" t="inlineStr">
        <is>
          <t>11</t>
        </is>
      </c>
      <c r="AF213" s="7" t="inlineStr">
        <is>
          <t>IA / Automatisation / No-code / Low-code</t>
        </is>
      </c>
      <c r="AG213" s="7" t="inlineStr">
        <is>
          <t>constaté</t>
        </is>
      </c>
      <c r="AH213" s="12" t="inlineStr"/>
      <c r="AI213" s="7" t="inlineStr">
        <is>
          <t>6</t>
        </is>
      </c>
      <c r="AJ213" s="7" t="inlineStr">
        <is>
          <t>&gt;2000</t>
        </is>
      </c>
      <c r="AK213" s="8" t="inlineStr">
        <is>
          <t>estimé</t>
        </is>
      </c>
      <c r="AL213" s="7" t="inlineStr">
        <is>
          <t>environ 4000 participants</t>
        </is>
      </c>
      <c r="AM213" s="11" t="inlineStr">
        <is>
          <t>Effectif attendu publie par Agenda Tech (agregateur specialise, chiffre de l'organisateur ou de l'agregateur)</t>
        </is>
      </c>
      <c r="AN213" s="7" t="inlineStr">
        <is>
          <t>moyenne</t>
        </is>
      </c>
      <c r="AO213" s="7" t="inlineStr">
        <is>
          <t>4</t>
        </is>
      </c>
      <c r="AP213" s="7" t="inlineStr">
        <is>
          <t>Partenaires / Prescripteurs / Consultants / Intégrateurs</t>
        </is>
      </c>
      <c r="AQ213" s="7" t="inlineStr">
        <is>
          <t>constaté</t>
        </is>
      </c>
      <c r="AR213" s="12" t="inlineStr"/>
      <c r="AS213" s="7" t="inlineStr">
        <is>
          <t>2</t>
        </is>
      </c>
      <c r="AT213" s="7" t="inlineStr">
        <is>
          <t>Moyen</t>
        </is>
      </c>
      <c r="AU213" s="8" t="inlineStr">
        <is>
          <t>estimé</t>
        </is>
      </c>
      <c r="AV213" s="12" t="inlineStr">
        <is>
          <t>Billetterie en vente libre (mention 'Voir tarifs sur le site' chez Agenda Tech), sans gratuite confirmee</t>
        </is>
      </c>
      <c r="AW213" s="7" t="inlineStr">
        <is>
          <t>S:16|4 L:11 N:6 P:4 A:2</t>
        </is>
      </c>
    </row>
    <row r="214">
      <c r="A214" s="10" t="inlineStr">
        <is>
          <t>Journees Dermatologiques de Paris 2026</t>
        </is>
      </c>
      <c r="B214" s="10" t="inlineStr">
        <is>
          <t>Societe Francaise de Dermatologie (SFD)</t>
        </is>
      </c>
      <c r="C214" s="10" t="inlineStr">
        <is>
          <t>2026-12-01</t>
        </is>
      </c>
      <c r="D214" s="10" t="inlineStr">
        <is>
          <t>2026-12-05</t>
        </is>
      </c>
      <c r="E214" s="10" t="inlineStr"/>
      <c r="F214" s="10" t="inlineStr">
        <is>
          <t>annuel</t>
        </is>
      </c>
      <c r="G214" s="10" t="inlineStr">
        <is>
          <t>Palais des Congres de Paris (Porte Maillot)</t>
        </is>
      </c>
      <c r="H214" s="10" t="inlineStr">
        <is>
          <t>Paris 17e</t>
        </is>
      </c>
      <c r="I214" s="10" t="inlineStr">
        <is>
          <t>75</t>
        </is>
      </c>
      <c r="J214" s="10" t="inlineStr">
        <is>
          <t>présentiel</t>
        </is>
      </c>
      <c r="K214" s="11" t="inlineStr">
        <is>
          <t>Congres annuel de dermatologie.</t>
        </is>
      </c>
      <c r="L214" s="11" t="inlineStr">
        <is>
          <t>non identifié publiquement</t>
        </is>
      </c>
      <c r="M214" s="10" t="inlineStr">
        <is>
          <t>Sante, dermatologie</t>
        </is>
      </c>
      <c r="N214" s="10" t="inlineStr">
        <is>
          <t>non identifié publiquement</t>
        </is>
      </c>
      <c r="O214" s="10" t="inlineStr">
        <is>
          <t>non identifié publiquement</t>
        </is>
      </c>
      <c r="P214" s="10" t="inlineStr">
        <is>
          <t>CONFIRME</t>
        </is>
      </c>
      <c r="Q214" s="11" t="inlineStr">
        <is>
          <t>Chiffres publies par l'organisateur sur lesjdp.fr, rubrique 'Les JDP en chiffres'</t>
        </is>
      </c>
      <c r="R214" s="10" t="inlineStr">
        <is>
          <t>billet payant</t>
        </is>
      </c>
      <c r="S214" s="10" t="inlineStr">
        <is>
          <t>oui</t>
        </is>
      </c>
      <c r="T214" s="11" t="inlineStr">
        <is>
          <t>Congres reserve aux professionnels de sante</t>
        </is>
      </c>
      <c r="U214" s="10" t="inlineStr">
        <is>
          <t>non identifié publiquement</t>
        </is>
      </c>
      <c r="V214" s="10" t="inlineStr">
        <is>
          <t>https://www.viparis.com/actualites-evenements/evenements/journee-dermatologique-de-paris-2026</t>
        </is>
      </c>
      <c r="W214" s="10" t="inlineStr">
        <is>
          <t>2026-09-15</t>
        </is>
      </c>
      <c r="X214" s="11" t="inlineStr">
        <is>
          <t>Identifie via l'agenda du lieu (Viparis).</t>
        </is>
      </c>
      <c r="Y214" s="7" t="inlineStr">
        <is>
          <t>7</t>
        </is>
      </c>
      <c r="Z214" s="7" t="inlineStr">
        <is>
          <t>Santé / Pharma / Biotech / Medtech</t>
        </is>
      </c>
      <c r="AA214" s="7" t="inlineStr"/>
      <c r="AB214" s="7" t="inlineStr"/>
      <c r="AC214" s="7" t="inlineStr"/>
      <c r="AD214" s="7" t="inlineStr">
        <is>
          <t>2</t>
        </is>
      </c>
      <c r="AE214" s="7" t="inlineStr">
        <is>
          <t>0</t>
        </is>
      </c>
      <c r="AF214" s="7" t="inlineStr">
        <is>
          <t>Générique / Multi-éditeurs / Sans dominante</t>
        </is>
      </c>
      <c r="AG214" s="8" t="inlineStr">
        <is>
          <t>estimé</t>
        </is>
      </c>
      <c r="AH214" s="12" t="inlineStr">
        <is>
          <t>Aucune dimension logicielle dans le positionnement de l'organisateur : rattache au 0 (sans dominante) plutot que laisse vide, conformement a la demande de non-vide</t>
        </is>
      </c>
      <c r="AI214" s="7" t="inlineStr">
        <is>
          <t>6</t>
        </is>
      </c>
      <c r="AJ214" s="7" t="inlineStr">
        <is>
          <t>&gt;2000</t>
        </is>
      </c>
      <c r="AK214" s="7" t="inlineStr">
        <is>
          <t>constaté</t>
        </is>
      </c>
      <c r="AL214" s="7" t="inlineStr">
        <is>
          <t>7 602 participants a l'edition 2024 (5 632 delegues hybrides, 544 virtuels, 1 426 exposants) contre 6 860 en 2023</t>
        </is>
      </c>
      <c r="AM214" s="11" t="inlineStr">
        <is>
          <t>Chiffres publies par l'organisateur sur lesjdp.fr, rubrique 'Les JDP en chiffres'</t>
        </is>
      </c>
      <c r="AN214" s="7" t="inlineStr">
        <is>
          <t>haute</t>
        </is>
      </c>
      <c r="AO214" s="7" t="inlineStr">
        <is>
          <t>7</t>
        </is>
      </c>
      <c r="AP214" s="7" t="inlineStr">
        <is>
          <t>Experts / Advisors / Associations professionnelles</t>
        </is>
      </c>
      <c r="AQ214" s="8" t="inlineStr">
        <is>
          <t>estimé</t>
        </is>
      </c>
      <c r="AR214" s="12" t="inlineStr">
        <is>
          <t>Congres de societe savante ou d'association professionnelle du secteur sante</t>
        </is>
      </c>
      <c r="AS214" s="7" t="inlineStr">
        <is>
          <t>2</t>
        </is>
      </c>
      <c r="AT214" s="7" t="inlineStr">
        <is>
          <t>Moyen</t>
        </is>
      </c>
      <c r="AU214" s="7" t="inlineStr">
        <is>
          <t>constaté</t>
        </is>
      </c>
      <c r="AV214" s="12" t="inlineStr"/>
      <c r="AW214" s="7" t="inlineStr">
        <is>
          <t>S:7 L:0 N:6 P:7 A:2</t>
        </is>
      </c>
    </row>
    <row r="215">
      <c r="A215" s="10" t="inlineStr">
        <is>
          <t>Salon Carrefour des Solidarites Territoriales 2026</t>
        </is>
      </c>
      <c r="B215" s="10" t="inlineStr">
        <is>
          <t>non identifié publiquement</t>
        </is>
      </c>
      <c r="C215" s="10" t="inlineStr">
        <is>
          <t>2026-12-01</t>
        </is>
      </c>
      <c r="D215" s="10" t="inlineStr">
        <is>
          <t>2026-12-02</t>
        </is>
      </c>
      <c r="E215" s="10" t="inlineStr"/>
      <c r="F215" s="10" t="inlineStr">
        <is>
          <t>annuel</t>
        </is>
      </c>
      <c r="G215" s="10" t="inlineStr">
        <is>
          <t>Paris Expo Porte de Versailles</t>
        </is>
      </c>
      <c r="H215" s="10" t="inlineStr">
        <is>
          <t>Paris 15e</t>
        </is>
      </c>
      <c r="I215" s="10" t="inlineStr">
        <is>
          <t>75</t>
        </is>
      </c>
      <c r="J215" s="10" t="inlineStr">
        <is>
          <t>présentiel</t>
        </is>
      </c>
      <c r="K215" s="11" t="inlineStr">
        <is>
          <t>Salon des acteurs des solidarites territoriales et de l'action sociale.</t>
        </is>
      </c>
      <c r="L215" s="11" t="inlineStr">
        <is>
          <t>non identifié publiquement</t>
        </is>
      </c>
      <c r="M215" s="10" t="inlineStr">
        <is>
          <t>Action sociale, collectivites, medico-social</t>
        </is>
      </c>
      <c r="N215" s="10" t="inlineStr">
        <is>
          <t>non identifié publiquement</t>
        </is>
      </c>
      <c r="O215" s="10" t="inlineStr">
        <is>
          <t>non identifié publiquement</t>
        </is>
      </c>
      <c r="P215" s="10" t="inlineStr"/>
      <c r="Q215" s="11" t="inlineStr"/>
      <c r="R215" s="10" t="inlineStr">
        <is>
          <t>non identifié publiquement</t>
        </is>
      </c>
      <c r="S215" s="10" t="inlineStr">
        <is>
          <t>non</t>
        </is>
      </c>
      <c r="T215" s="11" t="inlineStr"/>
      <c r="U215" s="10" t="inlineStr">
        <is>
          <t>non identifié publiquement</t>
        </is>
      </c>
      <c r="V215" s="10" t="inlineStr">
        <is>
          <t>https://www.viparis.com/actualites-evenements/evenements/salon-carrefour-des-solidarites-territoriales</t>
        </is>
      </c>
      <c r="W215" s="10" t="inlineStr">
        <is>
          <t>2026-09-15</t>
        </is>
      </c>
      <c r="X215" s="11" t="inlineStr">
        <is>
          <t>Identifie via l'agenda du lieu (Viparis). Co-localise avec Silver Economy Expo et le Salon des services a la personne (memes dates, meme site).</t>
        </is>
      </c>
      <c r="Y215" s="7" t="inlineStr">
        <is>
          <t>13|7</t>
        </is>
      </c>
      <c r="Z215" s="7" t="inlineStr">
        <is>
          <t>Secteur public / Collectivités / Institutions + Santé / Pharma / Biotech / Medtech</t>
        </is>
      </c>
      <c r="AA215" s="7" t="inlineStr"/>
      <c r="AB215" s="7" t="inlineStr"/>
      <c r="AC215" s="7" t="inlineStr">
        <is>
          <t>9</t>
        </is>
      </c>
      <c r="AD215" s="7" t="inlineStr"/>
      <c r="AE215" s="7" t="inlineStr">
        <is>
          <t>0</t>
        </is>
      </c>
      <c r="AF215" s="7" t="inlineStr">
        <is>
          <t>Générique / Multi-éditeurs / Sans dominante</t>
        </is>
      </c>
      <c r="AG215" s="8" t="inlineStr">
        <is>
          <t>estimé</t>
        </is>
      </c>
      <c r="AH215" s="12" t="inlineStr">
        <is>
          <t>Aucune dimension logicielle dans le positionnement de l'organisateur : rattache au 0 (sans dominante) plutot que laisse vide, conformement a la demande de non-vide</t>
        </is>
      </c>
      <c r="AI215" s="7" t="inlineStr">
        <is>
          <t>6</t>
        </is>
      </c>
      <c r="AJ215" s="7" t="inlineStr">
        <is>
          <t>&gt;2000</t>
        </is>
      </c>
      <c r="AK215" s="8" t="inlineStr">
        <is>
          <t>estimé</t>
        </is>
      </c>
      <c r="AL215" s="7" t="inlineStr">
        <is>
          <t>estimation : 3000 a 30000 participants</t>
        </is>
      </c>
      <c r="AM215" s="11" t="inlineStr">
        <is>
          <t>Modele de format (salon professionnel en parc d'exposition), fourchette 3000-30000, plafonnee par la capacite du lieu (Paris Expo Porte de Versailles ~ 200000)</t>
        </is>
      </c>
      <c r="AN215" s="7" t="inlineStr">
        <is>
          <t>moyenne</t>
        </is>
      </c>
      <c r="AO215" s="7" t="inlineStr">
        <is>
          <t>9</t>
        </is>
      </c>
      <c r="AP215" s="7" t="inlineStr">
        <is>
          <t>Institutionnels / Secteur public</t>
        </is>
      </c>
      <c r="AQ215" s="7" t="inlineStr">
        <is>
          <t>constaté</t>
        </is>
      </c>
      <c r="AR215" s="12" t="inlineStr"/>
      <c r="AS215" s="7" t="inlineStr">
        <is>
          <t>2</t>
        </is>
      </c>
      <c r="AT215" s="7" t="inlineStr">
        <is>
          <t>Moyen</t>
        </is>
      </c>
      <c r="AU215" s="8" t="inlineStr">
        <is>
          <t>estimé</t>
        </is>
      </c>
      <c r="AV215" s="12" t="inlineStr">
        <is>
          <t>Par defaut : aucun filtre par un tiers identifie, acces presume en vente libre (niveau 2 conservateur, cf. iteration n1)</t>
        </is>
      </c>
      <c r="AW215" s="7" t="inlineStr">
        <is>
          <t>S:13|7 L:0 N:6 P:9 A:2</t>
        </is>
      </c>
    </row>
    <row r="216">
      <c r="A216" s="10" t="inlineStr">
        <is>
          <t>Salon des Services a la Personne et de l'Emploi a Domicile 2026</t>
        </is>
      </c>
      <c r="B216" s="10" t="inlineStr">
        <is>
          <t>Ideal Connaissances</t>
        </is>
      </c>
      <c r="C216" s="10" t="inlineStr">
        <is>
          <t>2026-12-01</t>
        </is>
      </c>
      <c r="D216" s="10" t="inlineStr">
        <is>
          <t>2026-12-02</t>
        </is>
      </c>
      <c r="E216" s="10" t="inlineStr"/>
      <c r="F216" s="10" t="inlineStr">
        <is>
          <t>annuel</t>
        </is>
      </c>
      <c r="G216" s="10" t="inlineStr">
        <is>
          <t>Paris Expo Porte de Versailles</t>
        </is>
      </c>
      <c r="H216" s="10" t="inlineStr">
        <is>
          <t>Paris 15e</t>
        </is>
      </c>
      <c r="I216" s="10" t="inlineStr">
        <is>
          <t>75</t>
        </is>
      </c>
      <c r="J216" s="10" t="inlineStr">
        <is>
          <t>présentiel</t>
        </is>
      </c>
      <c r="K216" s="11" t="inlineStr">
        <is>
          <t>Le salon pour mieux grandir, vivre et vieillir chez soi</t>
        </is>
      </c>
      <c r="L216" s="11" t="inlineStr">
        <is>
          <t>Visitorat : ouvert au public (fiche CCI Paris Ile-de-France)</t>
        </is>
      </c>
      <c r="M216" s="10" t="inlineStr">
        <is>
          <t>Vie sociale et démocratie</t>
        </is>
      </c>
      <c r="N216" s="10" t="inlineStr">
        <is>
          <t>non identifié publiquement</t>
        </is>
      </c>
      <c r="O216" s="10" t="inlineStr">
        <is>
          <t>non identifié publiquement</t>
        </is>
      </c>
      <c r="P216" s="10" t="inlineStr"/>
      <c r="Q216" s="11" t="inlineStr"/>
      <c r="R216" s="10" t="inlineStr">
        <is>
          <t>inscription libre</t>
        </is>
      </c>
      <c r="S216" s="10" t="inlineStr">
        <is>
          <t>non</t>
        </is>
      </c>
      <c r="T216" s="11" t="inlineStr"/>
      <c r="U216" s="10" t="inlineStr">
        <is>
          <t>non identifié publiquement</t>
        </is>
      </c>
      <c r="V216" s="10" t="inlineStr">
        <is>
          <t>https://www.idealconnaissances.com/</t>
        </is>
      </c>
      <c r="W216" s="10" t="inlineStr">
        <is>
          <t>2026-09-15</t>
        </is>
      </c>
      <c r="X216" s="11" t="inlineStr">
        <is>
          <t>Public mixte : structures employeuses du secteur (SAP, SSIAD, federations) et particuliers employeurs. Conserve au titre du volet professionnel ; a arbitrer.</t>
        </is>
      </c>
      <c r="Y216" s="7" t="inlineStr">
        <is>
          <t>7</t>
        </is>
      </c>
      <c r="Z216" s="7" t="inlineStr">
        <is>
          <t>Santé / Pharma / Biotech / Medtech</t>
        </is>
      </c>
      <c r="AA216" s="7" t="inlineStr"/>
      <c r="AB216" s="7" t="inlineStr"/>
      <c r="AC216" s="7" t="inlineStr"/>
      <c r="AD216" s="7" t="inlineStr">
        <is>
          <t>2</t>
        </is>
      </c>
      <c r="AE216" s="7" t="inlineStr">
        <is>
          <t>0</t>
        </is>
      </c>
      <c r="AF216" s="7" t="inlineStr">
        <is>
          <t>Générique / Multi-éditeurs / Sans dominante</t>
        </is>
      </c>
      <c r="AG216" s="8" t="inlineStr">
        <is>
          <t>estimé</t>
        </is>
      </c>
      <c r="AH216" s="12" t="inlineStr">
        <is>
          <t>Aucune dimension logicielle dans le positionnement de l'organisateur : rattache au 0 (sans dominante) plutot que laisse vide, conformement a la demande de non-vide</t>
        </is>
      </c>
      <c r="AI216" s="7" t="inlineStr">
        <is>
          <t>6</t>
        </is>
      </c>
      <c r="AJ216" s="7" t="inlineStr">
        <is>
          <t>&gt;2000</t>
        </is>
      </c>
      <c r="AK216" s="8" t="inlineStr">
        <is>
          <t>estimé</t>
        </is>
      </c>
      <c r="AL216" s="7" t="inlineStr">
        <is>
          <t>estimation : 3000 a 30000 participants</t>
        </is>
      </c>
      <c r="AM216" s="11" t="inlineStr">
        <is>
          <t>Modele de format (salon professionnel en parc d'exposition), fourchette 3000-30000, plafonnee par la capacite du lieu (Paris Expo Porte de Versailles ~ 200000)</t>
        </is>
      </c>
      <c r="AN216" s="7" t="inlineStr">
        <is>
          <t>moyenne</t>
        </is>
      </c>
      <c r="AO216" s="7" t="inlineStr">
        <is>
          <t>7</t>
        </is>
      </c>
      <c r="AP216" s="7" t="inlineStr">
        <is>
          <t>Experts / Advisors / Associations professionnelles</t>
        </is>
      </c>
      <c r="AQ216" s="8" t="inlineStr">
        <is>
          <t>estimé</t>
        </is>
      </c>
      <c r="AR216" s="12" t="inlineStr">
        <is>
          <t>Congres de societe savante ou d'association professionnelle du secteur sante</t>
        </is>
      </c>
      <c r="AS216" s="7" t="inlineStr">
        <is>
          <t>2</t>
        </is>
      </c>
      <c r="AT216" s="7" t="inlineStr">
        <is>
          <t>Moyen</t>
        </is>
      </c>
      <c r="AU216" s="7" t="inlineStr">
        <is>
          <t>constaté</t>
        </is>
      </c>
      <c r="AV216" s="12" t="inlineStr"/>
      <c r="AW216" s="7" t="inlineStr">
        <is>
          <t>S:7 L:0 N:6 P:7 A:2</t>
        </is>
      </c>
    </row>
    <row r="217">
      <c r="A217" s="10" t="inlineStr">
        <is>
          <t>ServiceNow World Forum Paris 2026</t>
        </is>
      </c>
      <c r="B217" s="10" t="inlineStr">
        <is>
          <t>ServiceNow</t>
        </is>
      </c>
      <c r="C217" s="10" t="inlineStr">
        <is>
          <t>2026-12-01</t>
        </is>
      </c>
      <c r="D217" s="10" t="inlineStr"/>
      <c r="E217" s="10" t="inlineStr"/>
      <c r="F217" s="10" t="inlineStr">
        <is>
          <t>non identifié publiquement</t>
        </is>
      </c>
      <c r="G217" s="10" t="inlineStr">
        <is>
          <t>Paris Expo Porte de Versailles</t>
        </is>
      </c>
      <c r="H217" s="10" t="inlineStr">
        <is>
          <t>Paris (arrondissement selon le lieu)</t>
        </is>
      </c>
      <c r="I217" s="10" t="inlineStr">
        <is>
          <t>75</t>
        </is>
      </c>
      <c r="J217" s="10" t="inlineStr">
        <is>
          <t>présentiel</t>
        </is>
      </c>
      <c r="K217" s="11" t="inlineStr">
        <is>
          <t>Forum ServiceNow à Paris le 2 décembre 2026. IA, transformation numérique et retours clients. Accès gratuit pour DSI et directions métiers.</t>
        </is>
      </c>
      <c r="L217" s="11" t="inlineStr">
        <is>
          <t>non identifié publiquement</t>
        </is>
      </c>
      <c r="M217" s="10" t="inlineStr">
        <is>
          <t>Numerique, informatique, technologies</t>
        </is>
      </c>
      <c r="N217" s="10" t="inlineStr">
        <is>
          <t>ServiceNow World Forum Paris 2026 - Forum ServiceNow à Paris le 2 décembre 2026. IA, transformation numérique et retours clients. Accès gratuit po</t>
        </is>
      </c>
      <c r="O217" s="10" t="inlineStr">
        <is>
          <t>non identifié publiquement</t>
        </is>
      </c>
      <c r="P217" s="10" t="inlineStr"/>
      <c r="Q217" s="11" t="inlineStr"/>
      <c r="R217" s="10" t="inlineStr">
        <is>
          <t>non identifié publiquement</t>
        </is>
      </c>
      <c r="S217" s="10" t="inlineStr">
        <is>
          <t>non</t>
        </is>
      </c>
      <c r="T217" s="11" t="inlineStr"/>
      <c r="U217" s="10" t="inlineStr">
        <is>
          <t>non identifié publiquement</t>
        </is>
      </c>
      <c r="V217" s="10" t="inlineStr">
        <is>
          <t>https://www.agenda-tech.com/events/servicenow-world-forum-paris-2026</t>
        </is>
      </c>
      <c r="W217" s="10" t="inlineStr">
        <is>
          <t>2026-09-15</t>
        </is>
      </c>
      <c r="X217" s="11" t="inlineStr">
        <is>
          <t>Identifie via l'agregateur specialise Agenda Tech (donnees structurees schema.org publiees par l'organisateur).</t>
        </is>
      </c>
      <c r="Y217" s="7" t="inlineStr">
        <is>
          <t>16|4</t>
        </is>
      </c>
      <c r="Z217" s="7" t="inlineStr">
        <is>
          <t>IA / Intelligence artificielle + Tech / IT / Logiciels / Télécom</t>
        </is>
      </c>
      <c r="AA217" s="7" t="inlineStr">
        <is>
          <t>11</t>
        </is>
      </c>
      <c r="AB217" s="7" t="inlineStr"/>
      <c r="AC217" s="7" t="inlineStr">
        <is>
          <t>1</t>
        </is>
      </c>
      <c r="AD217" s="7" t="inlineStr"/>
      <c r="AE217" s="7" t="inlineStr">
        <is>
          <t>11</t>
        </is>
      </c>
      <c r="AF217" s="7" t="inlineStr">
        <is>
          <t>IA / Automatisation / No-code / Low-code</t>
        </is>
      </c>
      <c r="AG217" s="7" t="inlineStr">
        <is>
          <t>déduit</t>
        </is>
      </c>
      <c r="AH217" s="12" t="inlineStr">
        <is>
          <t>Deduit du secteur (axe 1)</t>
        </is>
      </c>
      <c r="AI217" s="7" t="inlineStr">
        <is>
          <t>5</t>
        </is>
      </c>
      <c r="AJ217" s="7" t="inlineStr">
        <is>
          <t>401-2000</t>
        </is>
      </c>
      <c r="AK217" s="8" t="inlineStr">
        <is>
          <t>estimé</t>
        </is>
      </c>
      <c r="AL217" s="7" t="inlineStr">
        <is>
          <t>estimation : 300 a 1500 participants</t>
        </is>
      </c>
      <c r="AM217" s="11" t="inlineStr">
        <is>
          <t>Modele de format (convention client d'editeur ou d'integrateur), fourchette 300-1500, plafonnee par la capacite du lieu (Paris Expo Porte de Versailles ~ 200000)</t>
        </is>
      </c>
      <c r="AN217" s="7" t="inlineStr">
        <is>
          <t>moyenne</t>
        </is>
      </c>
      <c r="AO217" s="7" t="inlineStr">
        <is>
          <t>1</t>
        </is>
      </c>
      <c r="AP217" s="7" t="inlineStr">
        <is>
          <t>Décideurs PME/ETI</t>
        </is>
      </c>
      <c r="AQ217" s="7" t="inlineStr">
        <is>
          <t>constaté</t>
        </is>
      </c>
      <c r="AR217" s="12" t="inlineStr"/>
      <c r="AS217" s="7" t="inlineStr">
        <is>
          <t>2</t>
        </is>
      </c>
      <c r="AT217" s="7" t="inlineStr">
        <is>
          <t>Moyen</t>
        </is>
      </c>
      <c r="AU217" s="8" t="inlineStr">
        <is>
          <t>estimé</t>
        </is>
      </c>
      <c r="AV217" s="12" t="inlineStr">
        <is>
          <t>Billetterie en vente libre (mention 'Voir tarifs sur le site' chez Agenda Tech), sans gratuite confirmee</t>
        </is>
      </c>
      <c r="AW217" s="7" t="inlineStr">
        <is>
          <t>S:16|4 L:11 N:5 P:1 A:2</t>
        </is>
      </c>
    </row>
    <row r="218">
      <c r="A218" s="10" t="inlineStr">
        <is>
          <t>Silver Economy Expo 2026</t>
        </is>
      </c>
      <c r="B218" s="10" t="inlineStr">
        <is>
          <t>non identifié publiquement</t>
        </is>
      </c>
      <c r="C218" s="10" t="inlineStr">
        <is>
          <t>2026-12-01</t>
        </is>
      </c>
      <c r="D218" s="10" t="inlineStr">
        <is>
          <t>2026-12-02</t>
        </is>
      </c>
      <c r="E218" s="10" t="inlineStr"/>
      <c r="F218" s="10" t="inlineStr">
        <is>
          <t>annuel</t>
        </is>
      </c>
      <c r="G218" s="10" t="inlineStr">
        <is>
          <t>Paris Expo Porte de Versailles</t>
        </is>
      </c>
      <c r="H218" s="10" t="inlineStr">
        <is>
          <t>Paris 15e</t>
        </is>
      </c>
      <c r="I218" s="10" t="inlineStr">
        <is>
          <t>75</t>
        </is>
      </c>
      <c r="J218" s="10" t="inlineStr">
        <is>
          <t>présentiel</t>
        </is>
      </c>
      <c r="K218" s="11" t="inlineStr">
        <is>
          <t>Evenement professionnel des services et innovations pour les seniors et le grand age.</t>
        </is>
      </c>
      <c r="L218" s="11" t="inlineStr">
        <is>
          <t>Visitorat : ouvert au public (fiche CCI Paris Ile-de-France)</t>
        </is>
      </c>
      <c r="M218" s="10" t="inlineStr">
        <is>
          <t>Vie sociale et démocratie</t>
        </is>
      </c>
      <c r="N218" s="10" t="inlineStr">
        <is>
          <t>non identifié publiquement</t>
        </is>
      </c>
      <c r="O218" s="10" t="inlineStr">
        <is>
          <t>non identifié publiquement</t>
        </is>
      </c>
      <c r="P218" s="10" t="inlineStr"/>
      <c r="Q218" s="11" t="inlineStr"/>
      <c r="R218" s="10" t="inlineStr">
        <is>
          <t>inscription libre</t>
        </is>
      </c>
      <c r="S218" s="10" t="inlineStr">
        <is>
          <t>oui</t>
        </is>
      </c>
      <c r="T218" s="11" t="inlineStr">
        <is>
          <t>Salon professionnel de la filiere silver economy</t>
        </is>
      </c>
      <c r="U218" s="10" t="inlineStr">
        <is>
          <t>non identifié publiquement</t>
        </is>
      </c>
      <c r="V218" s="10" t="inlineStr">
        <is>
          <t>https://www.cci-paris-idf.fr/fr/evenements-salons/salons-foires-paris-ile-de-france/silver-economy-expo</t>
        </is>
      </c>
      <c r="W218" s="10" t="inlineStr">
        <is>
          <t>2026-09-15</t>
        </is>
      </c>
      <c r="X218" s="11" t="inlineStr">
        <is>
          <t>La fiche CCI le classe 'ouvert au public' mais l'accroche officielle le presente comme un evenement professionnel. Co-localise avec le Salon des services a la personne.</t>
        </is>
      </c>
      <c r="Y218" s="7" t="inlineStr">
        <is>
          <t>7</t>
        </is>
      </c>
      <c r="Z218" s="7" t="inlineStr">
        <is>
          <t>Santé / Pharma / Biotech / Medtech</t>
        </is>
      </c>
      <c r="AA218" s="7" t="inlineStr"/>
      <c r="AB218" s="7" t="inlineStr"/>
      <c r="AC218" s="7" t="inlineStr"/>
      <c r="AD218" s="7" t="inlineStr">
        <is>
          <t>2</t>
        </is>
      </c>
      <c r="AE218" s="7" t="inlineStr">
        <is>
          <t>0</t>
        </is>
      </c>
      <c r="AF218" s="7" t="inlineStr">
        <is>
          <t>Générique / Multi-éditeurs / Sans dominante</t>
        </is>
      </c>
      <c r="AG218" s="8" t="inlineStr">
        <is>
          <t>estimé</t>
        </is>
      </c>
      <c r="AH218" s="12" t="inlineStr">
        <is>
          <t>Aucune dimension logicielle dans le positionnement de l'organisateur : rattache au 0 (sans dominante) plutot que laisse vide, conformement a la demande de non-vide</t>
        </is>
      </c>
      <c r="AI218" s="7" t="inlineStr">
        <is>
          <t>6</t>
        </is>
      </c>
      <c r="AJ218" s="7" t="inlineStr">
        <is>
          <t>&gt;2000</t>
        </is>
      </c>
      <c r="AK218" s="8" t="inlineStr">
        <is>
          <t>estimé</t>
        </is>
      </c>
      <c r="AL218" s="7" t="inlineStr">
        <is>
          <t>estimation : 3000 a 30000 participants</t>
        </is>
      </c>
      <c r="AM218" s="11" t="inlineStr">
        <is>
          <t>Modele de format (salon professionnel en parc d'exposition), fourchette 3000-30000, plafonnee par la capacite du lieu (Paris Expo Porte de Versailles ~ 200000)</t>
        </is>
      </c>
      <c r="AN218" s="7" t="inlineStr">
        <is>
          <t>moyenne</t>
        </is>
      </c>
      <c r="AO218" s="7" t="inlineStr">
        <is>
          <t>7</t>
        </is>
      </c>
      <c r="AP218" s="7" t="inlineStr">
        <is>
          <t>Experts / Advisors / Associations professionnelles</t>
        </is>
      </c>
      <c r="AQ218" s="8" t="inlineStr">
        <is>
          <t>estimé</t>
        </is>
      </c>
      <c r="AR218" s="12" t="inlineStr">
        <is>
          <t>Congres de societe savante ou d'association professionnelle du secteur sante</t>
        </is>
      </c>
      <c r="AS218" s="7" t="inlineStr">
        <is>
          <t>2</t>
        </is>
      </c>
      <c r="AT218" s="7" t="inlineStr">
        <is>
          <t>Moyen</t>
        </is>
      </c>
      <c r="AU218" s="7" t="inlineStr">
        <is>
          <t>constaté</t>
        </is>
      </c>
      <c r="AV218" s="12" t="inlineStr"/>
      <c r="AW218" s="7" t="inlineStr">
        <is>
          <t>S:7 L:0 N:6 P:7 A:2</t>
        </is>
      </c>
    </row>
    <row r="219">
      <c r="A219" s="10" t="inlineStr">
        <is>
          <t>Step by Pollutec 2026</t>
        </is>
      </c>
      <c r="B219" s="10" t="inlineStr">
        <is>
          <t>RX France (Reed Exhibitions)</t>
        </is>
      </c>
      <c r="C219" s="10" t="inlineStr">
        <is>
          <t>2026-12-01</t>
        </is>
      </c>
      <c r="D219" s="10" t="inlineStr">
        <is>
          <t>2026-12-02</t>
        </is>
      </c>
      <c r="E219" s="10" t="inlineStr"/>
      <c r="F219" s="10" t="inlineStr">
        <is>
          <t>annuel</t>
        </is>
      </c>
      <c r="G219" s="10" t="inlineStr">
        <is>
          <t>Paris Expo Porte de Versailles</t>
        </is>
      </c>
      <c r="H219" s="10" t="inlineStr">
        <is>
          <t>Paris 15e</t>
        </is>
      </c>
      <c r="I219" s="10" t="inlineStr">
        <is>
          <t>75</t>
        </is>
      </c>
      <c r="J219" s="10" t="inlineStr">
        <is>
          <t>présentiel</t>
        </is>
      </c>
      <c r="K219" s="11" t="inlineStr">
        <is>
          <t>Le salon de l'environnement et de l'énergie</t>
        </is>
      </c>
      <c r="L219" s="11" t="inlineStr">
        <is>
          <t>Visitorat : réservé aux professionnels (fiche CCI Paris Ile-de-France)</t>
        </is>
      </c>
      <c r="M219" s="10" t="inlineStr">
        <is>
          <t>Environnement et énergie</t>
        </is>
      </c>
      <c r="N219" s="10" t="inlineStr">
        <is>
          <t>non identifié publiquement</t>
        </is>
      </c>
      <c r="O219" s="10" t="inlineStr">
        <is>
          <t>non identifié publiquement</t>
        </is>
      </c>
      <c r="P219" s="10" t="inlineStr"/>
      <c r="Q219" s="11" t="inlineStr"/>
      <c r="R219" s="10" t="inlineStr">
        <is>
          <t>inscription libre</t>
        </is>
      </c>
      <c r="S219" s="10" t="inlineStr">
        <is>
          <t>oui</t>
        </is>
      </c>
      <c r="T219" s="11" t="inlineStr">
        <is>
          <t>Salon reserve aux professionnels de l'environnement et de l'energie</t>
        </is>
      </c>
      <c r="U219" s="10" t="inlineStr">
        <is>
          <t>non identifié publiquement</t>
        </is>
      </c>
      <c r="V219" s="10" t="inlineStr">
        <is>
          <t>https://www.cci-paris-idf.fr/fr/evenements-salons/salons-foires-paris-ile-de-france/step-pollutec</t>
        </is>
      </c>
      <c r="W219" s="10" t="inlineStr">
        <is>
          <t>2026-09-15</t>
        </is>
      </c>
      <c r="X219" s="11" t="inlineStr">
        <is>
          <t>Declinaison parisienne de Pollutec (edition principale a Lyon, hors Ile-de-France).</t>
        </is>
      </c>
      <c r="Y219" s="7" t="inlineStr">
        <is>
          <t>11</t>
        </is>
      </c>
      <c r="Z219" s="7" t="inlineStr">
        <is>
          <t>Énergie / Environnement / Utilities</t>
        </is>
      </c>
      <c r="AA219" s="7" t="inlineStr"/>
      <c r="AB219" s="7" t="inlineStr"/>
      <c r="AC219" s="7" t="inlineStr"/>
      <c r="AD219" s="7" t="inlineStr">
        <is>
          <t>2</t>
        </is>
      </c>
      <c r="AE219" s="7" t="inlineStr">
        <is>
          <t>0</t>
        </is>
      </c>
      <c r="AF219" s="7" t="inlineStr">
        <is>
          <t>Générique / Multi-éditeurs / Sans dominante</t>
        </is>
      </c>
      <c r="AG219" s="8" t="inlineStr">
        <is>
          <t>estimé</t>
        </is>
      </c>
      <c r="AH219" s="12" t="inlineStr">
        <is>
          <t>Aucune dimension logicielle dans le positionnement de l'organisateur : rattache au 0 (sans dominante) plutot que laisse vide, conformement a la demande de non-vide</t>
        </is>
      </c>
      <c r="AI219" s="7" t="inlineStr">
        <is>
          <t>6</t>
        </is>
      </c>
      <c r="AJ219" s="7" t="inlineStr">
        <is>
          <t>&gt;2000</t>
        </is>
      </c>
      <c r="AK219" s="8" t="inlineStr">
        <is>
          <t>estimé</t>
        </is>
      </c>
      <c r="AL219" s="7" t="inlineStr">
        <is>
          <t>estimation : 3000 a 30000 participants</t>
        </is>
      </c>
      <c r="AM219" s="11" t="inlineStr">
        <is>
          <t>Modele de format (salon professionnel en parc d'exposition), fourchette 3000-30000, plafonnee par la capacite du lieu (Paris Expo Porte de Versailles ~ 200000)</t>
        </is>
      </c>
      <c r="AN219" s="7" t="inlineStr">
        <is>
          <t>moyenne</t>
        </is>
      </c>
      <c r="AO219" s="7" t="inlineStr">
        <is>
          <t>1</t>
        </is>
      </c>
      <c r="AP219" s="7" t="inlineStr">
        <is>
          <t>Décideurs PME/ETI</t>
        </is>
      </c>
      <c r="AQ219" s="8" t="inlineStr">
        <is>
          <t>estimé</t>
        </is>
      </c>
      <c r="AR219" s="12" t="inlineStr">
        <is>
          <t>Par defaut, evenement B2B francilien : decideurs PME/ETI</t>
        </is>
      </c>
      <c r="AS219" s="7" t="inlineStr">
        <is>
          <t>2</t>
        </is>
      </c>
      <c r="AT219" s="7" t="inlineStr">
        <is>
          <t>Moyen</t>
        </is>
      </c>
      <c r="AU219" s="7" t="inlineStr">
        <is>
          <t>constaté</t>
        </is>
      </c>
      <c r="AV219" s="12" t="inlineStr"/>
      <c r="AW219" s="7" t="inlineStr">
        <is>
          <t>S:11 L:0 N:6 P:1 A:2</t>
        </is>
      </c>
    </row>
    <row r="220">
      <c r="A220" s="10" t="inlineStr">
        <is>
          <t>Supply Chain Event 2026</t>
        </is>
      </c>
      <c r="B220" s="10" t="inlineStr">
        <is>
          <t>RX France (Reed Exhibitions)</t>
        </is>
      </c>
      <c r="C220" s="10" t="inlineStr">
        <is>
          <t>2026-12-01</t>
        </is>
      </c>
      <c r="D220" s="10" t="inlineStr">
        <is>
          <t>2026-12-02</t>
        </is>
      </c>
      <c r="E220" s="10" t="inlineStr"/>
      <c r="F220" s="10" t="inlineStr">
        <is>
          <t>annuel</t>
        </is>
      </c>
      <c r="G220" s="10" t="inlineStr">
        <is>
          <t>Paris Expo Porte de Versailles - Pavillon 1</t>
        </is>
      </c>
      <c r="H220" s="10" t="inlineStr">
        <is>
          <t>Paris 15e</t>
        </is>
      </c>
      <c r="I220" s="10" t="inlineStr">
        <is>
          <t>75</t>
        </is>
      </c>
      <c r="J220" s="10" t="inlineStr">
        <is>
          <t>présentiel</t>
        </is>
      </c>
      <c r="K220" s="11" t="inlineStr">
        <is>
          <t>Salon de la digitalisation de la supply chain : performance, resilience, decarbonation, optimisation des flux.</t>
        </is>
      </c>
      <c r="L220" s="11" t="inlineStr">
        <is>
          <t>decideurs, industriels, distributeurs et fournisseurs de solutions supply chain</t>
        </is>
      </c>
      <c r="M220" s="10" t="inlineStr">
        <is>
          <t>Supply chain, logistique, industrie, distribution</t>
        </is>
      </c>
      <c r="N220" s="10" t="inlineStr">
        <is>
          <t>Digitalisation supply chain, IA, mathematiques et data pour l'optimisation des flux</t>
        </is>
      </c>
      <c r="O220" s="10" t="inlineStr">
        <is>
          <t>+130 exposants, +40 conferences, +1000 rendez-vous d'affaires</t>
        </is>
      </c>
      <c r="P220" s="10" t="inlineStr">
        <is>
          <t>CONFIRME</t>
        </is>
      </c>
      <c r="Q220" s="11" t="inlineStr">
        <is>
          <t>Chiffres affiches par l'organisateur sur le site officiel de l'edition 2026</t>
        </is>
      </c>
      <c r="R220" s="10" t="inlineStr">
        <is>
          <t>billet payant</t>
        </is>
      </c>
      <c r="S220" s="10" t="inlineStr">
        <is>
          <t>non</t>
        </is>
      </c>
      <c r="T220" s="11" t="inlineStr"/>
      <c r="U220" s="10" t="inlineStr">
        <is>
          <t>tarif non publie ; remise early bird de 25 EUR jusqu'au 31 octobre 2026</t>
        </is>
      </c>
      <c r="V220" s="10" t="inlineStr">
        <is>
          <t>https://www.supplychain-event.com/</t>
        </is>
      </c>
      <c r="W220" s="10" t="inlineStr">
        <is>
          <t>2026-09-15</t>
        </is>
      </c>
      <c r="X220" s="11" t="inlineStr">
        <is>
          <t>Keynote annoncee sur l'IA, les mathematiques et la data pour l'optimisation des flux. Nombre de visiteurs non publie sur la page consultee.</t>
        </is>
      </c>
      <c r="Y220" s="7" t="inlineStr">
        <is>
          <t>10|3</t>
        </is>
      </c>
      <c r="Z220" s="7" t="inlineStr">
        <is>
          <t>Transport / Logistique / Supply Chain + Industrie / Manufacturing / Automobile / Aéronautique</t>
        </is>
      </c>
      <c r="AA220" s="7" t="inlineStr">
        <is>
          <t>9</t>
        </is>
      </c>
      <c r="AB220" s="7" t="inlineStr">
        <is>
          <t>5</t>
        </is>
      </c>
      <c r="AC220" s="7" t="inlineStr">
        <is>
          <t>1|4</t>
        </is>
      </c>
      <c r="AD220" s="7" t="inlineStr">
        <is>
          <t>2</t>
        </is>
      </c>
      <c r="AE220" s="7" t="inlineStr">
        <is>
          <t>9</t>
        </is>
      </c>
      <c r="AF220" s="7" t="inlineStr">
        <is>
          <t>Data / BI / Analytics</t>
        </is>
      </c>
      <c r="AG220" s="7" t="inlineStr">
        <is>
          <t>constaté</t>
        </is>
      </c>
      <c r="AH220" s="12" t="inlineStr"/>
      <c r="AI220" s="7" t="inlineStr">
        <is>
          <t>5</t>
        </is>
      </c>
      <c r="AJ220" s="7" t="inlineStr">
        <is>
          <t>401-2000</t>
        </is>
      </c>
      <c r="AK220" s="7" t="inlineStr">
        <is>
          <t>constaté</t>
        </is>
      </c>
      <c r="AL220" s="7" t="inlineStr">
        <is>
          <t>+130 exposants, +40 conferences, +1000 rendez-vous d'affaires</t>
        </is>
      </c>
      <c r="AM220" s="11" t="inlineStr">
        <is>
          <t>Chiffre publie par l'organisateur (colonne taille_source)</t>
        </is>
      </c>
      <c r="AN220" s="7" t="inlineStr">
        <is>
          <t>haute</t>
        </is>
      </c>
      <c r="AO220" s="7" t="inlineStr">
        <is>
          <t>1|4</t>
        </is>
      </c>
      <c r="AP220" s="7" t="inlineStr">
        <is>
          <t>Décideurs PME/ETI + Partenaires / Prescripteurs / Consultants / Intégrateurs</t>
        </is>
      </c>
      <c r="AQ220" s="7" t="inlineStr">
        <is>
          <t>constaté</t>
        </is>
      </c>
      <c r="AR220" s="12" t="inlineStr"/>
      <c r="AS220" s="7" t="inlineStr">
        <is>
          <t>2</t>
        </is>
      </c>
      <c r="AT220" s="7" t="inlineStr">
        <is>
          <t>Moyen</t>
        </is>
      </c>
      <c r="AU220" s="7" t="inlineStr">
        <is>
          <t>constaté</t>
        </is>
      </c>
      <c r="AV220" s="12" t="inlineStr"/>
      <c r="AW220" s="7" t="inlineStr">
        <is>
          <t>S:10|3 L:9 N:5 P:1|4 A:2</t>
        </is>
      </c>
    </row>
    <row r="221">
      <c r="A221" s="10" t="inlineStr">
        <is>
          <t>Trustech 2026</t>
        </is>
      </c>
      <c r="B221" s="10" t="inlineStr">
        <is>
          <t>Comexposium</t>
        </is>
      </c>
      <c r="C221" s="10" t="inlineStr">
        <is>
          <t>2026-12-01</t>
        </is>
      </c>
      <c r="D221" s="10" t="inlineStr">
        <is>
          <t>2026-12-03</t>
        </is>
      </c>
      <c r="E221" s="10" t="inlineStr"/>
      <c r="F221" s="10" t="inlineStr">
        <is>
          <t>annuel</t>
        </is>
      </c>
      <c r="G221" s="10" t="inlineStr">
        <is>
          <t>Paris Expo Porte de Versailles</t>
        </is>
      </c>
      <c r="H221" s="10" t="inlineStr">
        <is>
          <t>Paris 15e</t>
        </is>
      </c>
      <c r="I221" s="10" t="inlineStr">
        <is>
          <t>75</t>
        </is>
      </c>
      <c r="J221" s="10" t="inlineStr">
        <is>
          <t>présentiel</t>
        </is>
      </c>
      <c r="K221" s="11" t="inlineStr">
        <is>
          <t>Evenement international dedie aux paiements innovants, a l'identification et a la securite des transactions.</t>
        </is>
      </c>
      <c r="L221" s="11" t="inlineStr">
        <is>
          <t>Visitorat : réservé aux professionnels (fiche CCI Paris Ile-de-France)</t>
        </is>
      </c>
      <c r="M221" s="10" t="inlineStr">
        <is>
          <t>Informatique, télécommunications, audiovisuel et multimédia</t>
        </is>
      </c>
      <c r="N221" s="10" t="inlineStr">
        <is>
          <t>Paiement, identite numerique, securite des transactions, biometrie</t>
        </is>
      </c>
      <c r="O221" s="10" t="inlineStr">
        <is>
          <t>non identifié publiquement</t>
        </is>
      </c>
      <c r="P221" s="10" t="inlineStr">
        <is>
          <t>CONFIRME</t>
        </is>
      </c>
      <c r="Q221" s="11" t="inlineStr">
        <is>
          <t>Chiffres annonces par l'organisateur pour la 42e edition (trustech-event.com)</t>
        </is>
      </c>
      <c r="R221" s="10" t="inlineStr">
        <is>
          <t>billet payant</t>
        </is>
      </c>
      <c r="S221" s="10" t="inlineStr">
        <is>
          <t>oui</t>
        </is>
      </c>
      <c r="T221" s="11" t="inlineStr">
        <is>
          <t>Salon reserve aux professionnels du paiement et de l'identification</t>
        </is>
      </c>
      <c r="U221" s="10" t="inlineStr">
        <is>
          <t>non identifié publiquement</t>
        </is>
      </c>
      <c r="V221" s="10" t="inlineStr">
        <is>
          <t>https://www.cci-paris-idf.fr/fr/evenements-salons/salons-foires-paris-ile-de-france/trustech</t>
        </is>
      </c>
      <c r="W221" s="10" t="inlineStr">
        <is>
          <t>2026-09-15</t>
        </is>
      </c>
      <c r="X221" s="11" t="inlineStr"/>
      <c r="Y221" s="7" t="inlineStr">
        <is>
          <t>4</t>
        </is>
      </c>
      <c r="Z221" s="7" t="inlineStr">
        <is>
          <t>Tech / IT / Logiciels / Télécom</t>
        </is>
      </c>
      <c r="AA221" s="7" t="inlineStr">
        <is>
          <t>10</t>
        </is>
      </c>
      <c r="AB221" s="7" t="inlineStr"/>
      <c r="AC221" s="7" t="inlineStr"/>
      <c r="AD221" s="7" t="inlineStr">
        <is>
          <t>2</t>
        </is>
      </c>
      <c r="AE221" s="7" t="inlineStr">
        <is>
          <t>10</t>
        </is>
      </c>
      <c r="AF221" s="7" t="inlineStr">
        <is>
          <t>Cybersécurité</t>
        </is>
      </c>
      <c r="AG221" s="7" t="inlineStr">
        <is>
          <t>constaté</t>
        </is>
      </c>
      <c r="AH221" s="12" t="inlineStr"/>
      <c r="AI221" s="7" t="inlineStr">
        <is>
          <t>6</t>
        </is>
      </c>
      <c r="AJ221" s="7" t="inlineStr">
        <is>
          <t>&gt;2000</t>
        </is>
      </c>
      <c r="AK221" s="7" t="inlineStr">
        <is>
          <t>constaté</t>
        </is>
      </c>
      <c r="AL221" s="7" t="inlineStr">
        <is>
          <t>plus de 8 000 visiteurs de 104 pays, plus de 200 exposants (82 % internationaux)</t>
        </is>
      </c>
      <c r="AM221" s="11" t="inlineStr">
        <is>
          <t>Chiffres annonces par l'organisateur pour la 42e edition (trustech-event.com)</t>
        </is>
      </c>
      <c r="AN221" s="7" t="inlineStr">
        <is>
          <t>haute</t>
        </is>
      </c>
      <c r="AO221" s="7" t="inlineStr">
        <is>
          <t>1</t>
        </is>
      </c>
      <c r="AP221" s="7" t="inlineStr">
        <is>
          <t>Décideurs PME/ETI</t>
        </is>
      </c>
      <c r="AQ221" s="8" t="inlineStr">
        <is>
          <t>estimé</t>
        </is>
      </c>
      <c r="AR221" s="12" t="inlineStr">
        <is>
          <t>Par defaut, evenement B2B francilien : decideurs PME/ETI</t>
        </is>
      </c>
      <c r="AS221" s="7" t="inlineStr">
        <is>
          <t>2</t>
        </is>
      </c>
      <c r="AT221" s="7" t="inlineStr">
        <is>
          <t>Moyen</t>
        </is>
      </c>
      <c r="AU221" s="7" t="inlineStr">
        <is>
          <t>constaté</t>
        </is>
      </c>
      <c r="AV221" s="12" t="inlineStr"/>
      <c r="AW221" s="7" t="inlineStr">
        <is>
          <t>S:4 L:10 N:6 P:1 A:2</t>
        </is>
      </c>
    </row>
    <row r="222">
      <c r="A222" s="10" t="inlineStr">
        <is>
          <t>Educ@tech Expo 2026</t>
        </is>
      </c>
      <c r="B222" s="10" t="inlineStr">
        <is>
          <t>Weyou Group</t>
        </is>
      </c>
      <c r="C222" s="10" t="inlineStr">
        <is>
          <t>2026-12-02</t>
        </is>
      </c>
      <c r="D222" s="10" t="inlineStr">
        <is>
          <t>2026-12-04</t>
        </is>
      </c>
      <c r="E222" s="10" t="inlineStr"/>
      <c r="F222" s="10" t="inlineStr">
        <is>
          <t>annuel</t>
        </is>
      </c>
      <c r="G222" s="10" t="inlineStr">
        <is>
          <t>Paris Expo Porte de Versailles</t>
        </is>
      </c>
      <c r="H222" s="10" t="inlineStr">
        <is>
          <t>Paris 15e</t>
        </is>
      </c>
      <c r="I222" s="10" t="inlineStr">
        <is>
          <t>75</t>
        </is>
      </c>
      <c r="J222" s="10" t="inlineStr">
        <is>
          <t>présentiel</t>
        </is>
      </c>
      <c r="K222" s="11" t="inlineStr">
        <is>
          <t>Salon professionnel de l'innovation pedagogique et des technologies educatives.</t>
        </is>
      </c>
      <c r="L222" s="11" t="inlineStr">
        <is>
          <t>Visitorat : réservé aux professionnels (fiche CCI Paris Ile-de-France)</t>
        </is>
      </c>
      <c r="M222" s="10" t="inlineStr">
        <is>
          <t>Enseignement, emploi et ressources humaines</t>
        </is>
      </c>
      <c r="N222" s="10" t="inlineStr">
        <is>
          <t>EdTech, plateformes pedagogiques, IA appliquee a l'education</t>
        </is>
      </c>
      <c r="O222" s="10" t="inlineStr">
        <is>
          <t>non identifié publiquement</t>
        </is>
      </c>
      <c r="P222" s="10" t="inlineStr">
        <is>
          <t>CONFIRME</t>
        </is>
      </c>
      <c r="Q222" s="11" t="inlineStr">
        <is>
          <t>Chiffres annonces par l'organisateur (educatech-expo.com)</t>
        </is>
      </c>
      <c r="R222" s="10" t="inlineStr">
        <is>
          <t>inscription libre</t>
        </is>
      </c>
      <c r="S222" s="10" t="inlineStr">
        <is>
          <t>oui</t>
        </is>
      </c>
      <c r="T222" s="11" t="inlineStr">
        <is>
          <t>Salon reserve aux professionnels de l'education et de la formation</t>
        </is>
      </c>
      <c r="U222" s="10" t="inlineStr">
        <is>
          <t>non identifié publiquement</t>
        </is>
      </c>
      <c r="V222" s="10" t="inlineStr">
        <is>
          <t>https://www.educatech-expo.com/</t>
        </is>
      </c>
      <c r="W222" s="10" t="inlineStr">
        <is>
          <t>2026-09-15</t>
        </is>
      </c>
      <c r="X222" s="11" t="inlineStr">
        <is>
          <t>Intitule orthographie 'Educ@tec Expo' dans le repertoire CCI ; le site officiel porte 'Educ@tech Expo'.</t>
        </is>
      </c>
      <c r="Y222" s="7" t="inlineStr">
        <is>
          <t>4|12</t>
        </is>
      </c>
      <c r="Z222" s="7" t="inlineStr">
        <is>
          <t>Tech / IT / Logiciels / Télécom + Éducation / Formation</t>
        </is>
      </c>
      <c r="AA222" s="7" t="inlineStr">
        <is>
          <t>11</t>
        </is>
      </c>
      <c r="AB222" s="7" t="inlineStr"/>
      <c r="AC222" s="7" t="inlineStr">
        <is>
          <t>3</t>
        </is>
      </c>
      <c r="AD222" s="7" t="inlineStr">
        <is>
          <t>2</t>
        </is>
      </c>
      <c r="AE222" s="7" t="inlineStr">
        <is>
          <t>11</t>
        </is>
      </c>
      <c r="AF222" s="7" t="inlineStr">
        <is>
          <t>IA / Automatisation / No-code / Low-code</t>
        </is>
      </c>
      <c r="AG222" s="7" t="inlineStr">
        <is>
          <t>constaté</t>
        </is>
      </c>
      <c r="AH222" s="12" t="inlineStr"/>
      <c r="AI222" s="7" t="inlineStr">
        <is>
          <t>6</t>
        </is>
      </c>
      <c r="AJ222" s="7" t="inlineStr">
        <is>
          <t>&gt;2000</t>
        </is>
      </c>
      <c r="AK222" s="7" t="inlineStr">
        <is>
          <t>constaté</t>
        </is>
      </c>
      <c r="AL222" s="7" t="inlineStr">
        <is>
          <t>plus de 14 000 participants, pres de 300 stands exposants</t>
        </is>
      </c>
      <c r="AM222" s="11" t="inlineStr">
        <is>
          <t>Chiffres annonces par l'organisateur (educatech-expo.com)</t>
        </is>
      </c>
      <c r="AN222" s="7" t="inlineStr">
        <is>
          <t>haute</t>
        </is>
      </c>
      <c r="AO222" s="7" t="inlineStr">
        <is>
          <t>3</t>
        </is>
      </c>
      <c r="AP222" s="7" t="inlineStr">
        <is>
          <t>Opérationnels / Utilisateurs métier</t>
        </is>
      </c>
      <c r="AQ222" s="7" t="inlineStr">
        <is>
          <t>constaté</t>
        </is>
      </c>
      <c r="AR222" s="12" t="inlineStr"/>
      <c r="AS222" s="7" t="inlineStr">
        <is>
          <t>2</t>
        </is>
      </c>
      <c r="AT222" s="7" t="inlineStr">
        <is>
          <t>Moyen</t>
        </is>
      </c>
      <c r="AU222" s="7" t="inlineStr">
        <is>
          <t>constaté</t>
        </is>
      </c>
      <c r="AV222" s="12" t="inlineStr"/>
      <c r="AW222" s="7" t="inlineStr">
        <is>
          <t>S:4|12 L:11 N:6 P:3 A:2</t>
        </is>
      </c>
    </row>
    <row r="223">
      <c r="A223" s="10" t="inlineStr">
        <is>
          <t>Pari(s) Sante Femmes 2026</t>
        </is>
      </c>
      <c r="B223" s="10" t="inlineStr">
        <is>
          <t>non identifié publiquement</t>
        </is>
      </c>
      <c r="C223" s="10" t="inlineStr">
        <is>
          <t>2026-12-02</t>
        </is>
      </c>
      <c r="D223" s="10" t="inlineStr">
        <is>
          <t>2026-12-04</t>
        </is>
      </c>
      <c r="E223" s="10" t="inlineStr"/>
      <c r="F223" s="10" t="inlineStr">
        <is>
          <t>annuel</t>
        </is>
      </c>
      <c r="G223" s="10" t="inlineStr">
        <is>
          <t>Palais des Congres de Paris (Porte Maillot)</t>
        </is>
      </c>
      <c r="H223" s="10" t="inlineStr">
        <is>
          <t>Paris 17e</t>
        </is>
      </c>
      <c r="I223" s="10" t="inlineStr">
        <is>
          <t>75</t>
        </is>
      </c>
      <c r="J223" s="10" t="inlineStr">
        <is>
          <t>présentiel</t>
        </is>
      </c>
      <c r="K223" s="11" t="inlineStr">
        <is>
          <t>Congres de la sante des femmes (gynecologie, obstetrique).</t>
        </is>
      </c>
      <c r="L223" s="11" t="inlineStr">
        <is>
          <t>non identifié publiquement</t>
        </is>
      </c>
      <c r="M223" s="10" t="inlineStr">
        <is>
          <t>Sante, gynecologie-obstetrique</t>
        </is>
      </c>
      <c r="N223" s="10" t="inlineStr">
        <is>
          <t>non identifié publiquement</t>
        </is>
      </c>
      <c r="O223" s="10" t="inlineStr">
        <is>
          <t>non identifié publiquement</t>
        </is>
      </c>
      <c r="P223" s="10" t="inlineStr"/>
      <c r="Q223" s="11" t="inlineStr"/>
      <c r="R223" s="10" t="inlineStr">
        <is>
          <t>billet payant</t>
        </is>
      </c>
      <c r="S223" s="10" t="inlineStr">
        <is>
          <t>oui</t>
        </is>
      </c>
      <c r="T223" s="11" t="inlineStr">
        <is>
          <t>Congres reserve aux professionnels de sante</t>
        </is>
      </c>
      <c r="U223" s="10" t="inlineStr">
        <is>
          <t>non identifié publiquement</t>
        </is>
      </c>
      <c r="V223" s="10" t="inlineStr">
        <is>
          <t>https://www.viparis.com/actualites-evenements/evenements/pari-s-sante-femmes-2026</t>
        </is>
      </c>
      <c r="W223" s="10" t="inlineStr">
        <is>
          <t>2026-09-15</t>
        </is>
      </c>
      <c r="X223" s="11" t="inlineStr">
        <is>
          <t>Identifie via l'agenda du lieu (Viparis). Organisateur non identifie publiquement au 15/09/2026.</t>
        </is>
      </c>
      <c r="Y223" s="7" t="inlineStr">
        <is>
          <t>7</t>
        </is>
      </c>
      <c r="Z223" s="7" t="inlineStr">
        <is>
          <t>Santé / Pharma / Biotech / Medtech</t>
        </is>
      </c>
      <c r="AA223" s="7" t="inlineStr"/>
      <c r="AB223" s="7" t="inlineStr"/>
      <c r="AC223" s="7" t="inlineStr"/>
      <c r="AD223" s="7" t="inlineStr">
        <is>
          <t>2</t>
        </is>
      </c>
      <c r="AE223" s="7" t="inlineStr">
        <is>
          <t>0</t>
        </is>
      </c>
      <c r="AF223" s="7" t="inlineStr">
        <is>
          <t>Générique / Multi-éditeurs / Sans dominante</t>
        </is>
      </c>
      <c r="AG223" s="8" t="inlineStr">
        <is>
          <t>estimé</t>
        </is>
      </c>
      <c r="AH223" s="12" t="inlineStr">
        <is>
          <t>Aucune dimension logicielle dans le positionnement de l'organisateur : rattache au 0 (sans dominante) plutot que laisse vide, conformement a la demande de non-vide</t>
        </is>
      </c>
      <c r="AI223" s="7" t="inlineStr">
        <is>
          <t>6</t>
        </is>
      </c>
      <c r="AJ223" s="7" t="inlineStr">
        <is>
          <t>&gt;2000</t>
        </is>
      </c>
      <c r="AK223" s="8" t="inlineStr">
        <is>
          <t>estimé</t>
        </is>
      </c>
      <c r="AL223" s="7" t="inlineStr">
        <is>
          <t>estimation : 1000 a 6000 participants</t>
        </is>
      </c>
      <c r="AM223" s="11" t="inlineStr">
        <is>
          <t>Modele de format (congres de societe savante), fourchette 1000-6000, plafonnee par la capacite du lieu (Palais des Congres de Paris (Porte Maill ~ 10000)</t>
        </is>
      </c>
      <c r="AN223" s="7" t="inlineStr">
        <is>
          <t>moyenne</t>
        </is>
      </c>
      <c r="AO223" s="7" t="inlineStr">
        <is>
          <t>7</t>
        </is>
      </c>
      <c r="AP223" s="7" t="inlineStr">
        <is>
          <t>Experts / Advisors / Associations professionnelles</t>
        </is>
      </c>
      <c r="AQ223" s="8" t="inlineStr">
        <is>
          <t>estimé</t>
        </is>
      </c>
      <c r="AR223" s="12" t="inlineStr">
        <is>
          <t>Congres de societe savante ou d'association professionnelle du secteur sante</t>
        </is>
      </c>
      <c r="AS223" s="7" t="inlineStr">
        <is>
          <t>2</t>
        </is>
      </c>
      <c r="AT223" s="7" t="inlineStr">
        <is>
          <t>Moyen</t>
        </is>
      </c>
      <c r="AU223" s="7" t="inlineStr">
        <is>
          <t>constaté</t>
        </is>
      </c>
      <c r="AV223" s="12" t="inlineStr"/>
      <c r="AW223" s="7" t="inlineStr">
        <is>
          <t>S:7 L:0 N:6 P:7 A:2</t>
        </is>
      </c>
    </row>
    <row r="224">
      <c r="A224" s="10" t="inlineStr">
        <is>
          <t>Adopt AI Grand Palais</t>
        </is>
      </c>
      <c r="B224" s="10" t="inlineStr">
        <is>
          <t>Artefact</t>
        </is>
      </c>
      <c r="C224" s="10" t="inlineStr">
        <is>
          <t>2026-12-03</t>
        </is>
      </c>
      <c r="D224" s="10" t="inlineStr">
        <is>
          <t>2026-12-04</t>
        </is>
      </c>
      <c r="E224" s="10" t="inlineStr"/>
      <c r="F224" s="10" t="inlineStr">
        <is>
          <t>non identifié publiquement</t>
        </is>
      </c>
      <c r="G224" s="10" t="inlineStr">
        <is>
          <t>Grand Palais</t>
        </is>
      </c>
      <c r="H224" s="10" t="inlineStr">
        <is>
          <t>Paris (arrondissement selon le lieu)</t>
        </is>
      </c>
      <c r="I224" s="10" t="inlineStr">
        <is>
          <t>75</t>
        </is>
      </c>
      <c r="J224" s="10" t="inlineStr">
        <is>
          <t>présentiel</t>
        </is>
      </c>
      <c r="K224" s="11" t="inlineStr">
        <is>
          <t>Adopt AI Grand Palais, 3-4 décembre 2026 à Paris. Conférence B2B sur l'intelligence artificielle réunissant experts et décideurs tech.</t>
        </is>
      </c>
      <c r="L224" s="11" t="inlineStr">
        <is>
          <t>non identifié publiquement</t>
        </is>
      </c>
      <c r="M224" s="10" t="inlineStr">
        <is>
          <t>Numerique, informatique, technologies</t>
        </is>
      </c>
      <c r="N224" s="10" t="inlineStr">
        <is>
          <t>Adopt AI Grand Palais - Adopt AI Grand Palais, 3-4 décembre 2026 à Paris. Conférence B2B sur l'intelligence artificielle réunissant ex</t>
        </is>
      </c>
      <c r="O224" s="10" t="inlineStr">
        <is>
          <t>non identifié publiquement</t>
        </is>
      </c>
      <c r="P224" s="10" t="inlineStr">
        <is>
          <t>ESTIME</t>
        </is>
      </c>
      <c r="Q224" s="11" t="inlineStr">
        <is>
          <t>Effectif attendu publie par l'agregateur specialise Agenda Tech pour cette edition</t>
        </is>
      </c>
      <c r="R224" s="10" t="inlineStr">
        <is>
          <t>non identifié publiquement</t>
        </is>
      </c>
      <c r="S224" s="10" t="inlineStr">
        <is>
          <t>non</t>
        </is>
      </c>
      <c r="T224" s="11" t="inlineStr"/>
      <c r="U224" s="10" t="inlineStr">
        <is>
          <t>non identifié publiquement</t>
        </is>
      </c>
      <c r="V224" s="10" t="inlineStr">
        <is>
          <t>https://www.agenda-tech.com/events/adopt-ai-grand-palais-2026</t>
        </is>
      </c>
      <c r="W224" s="10" t="inlineStr">
        <is>
          <t>2026-09-15</t>
        </is>
      </c>
      <c r="X224" s="11" t="inlineStr">
        <is>
          <t>Identifie via l'agregateur specialise Agenda Tech (donnees structurees schema.org publiees par l'organisateur).</t>
        </is>
      </c>
      <c r="Y224" s="7" t="inlineStr">
        <is>
          <t>16|4</t>
        </is>
      </c>
      <c r="Z224" s="7" t="inlineStr">
        <is>
          <t>IA / Intelligence artificielle + Tech / IT / Logiciels / Télécom</t>
        </is>
      </c>
      <c r="AA224" s="7" t="inlineStr">
        <is>
          <t>11</t>
        </is>
      </c>
      <c r="AB224" s="7" t="inlineStr"/>
      <c r="AC224" s="7" t="inlineStr">
        <is>
          <t>7|1</t>
        </is>
      </c>
      <c r="AD224" s="7" t="inlineStr"/>
      <c r="AE224" s="7" t="inlineStr">
        <is>
          <t>11</t>
        </is>
      </c>
      <c r="AF224" s="7" t="inlineStr">
        <is>
          <t>IA / Automatisation / No-code / Low-code</t>
        </is>
      </c>
      <c r="AG224" s="7" t="inlineStr">
        <is>
          <t>déduit</t>
        </is>
      </c>
      <c r="AH224" s="12" t="inlineStr">
        <is>
          <t>Deduit du secteur (axe 1)</t>
        </is>
      </c>
      <c r="AI224" s="7" t="inlineStr">
        <is>
          <t>6</t>
        </is>
      </c>
      <c r="AJ224" s="7" t="inlineStr">
        <is>
          <t>&gt;2000</t>
        </is>
      </c>
      <c r="AK224" s="8" t="inlineStr">
        <is>
          <t>estimé</t>
        </is>
      </c>
      <c r="AL224" s="7" t="inlineStr">
        <is>
          <t>environ 20000 participants</t>
        </is>
      </c>
      <c r="AM224" s="11" t="inlineStr">
        <is>
          <t>Effectif attendu publie par Agenda Tech (agregateur specialise, chiffre de l'organisateur ou de l'agregateur)</t>
        </is>
      </c>
      <c r="AN224" s="7" t="inlineStr">
        <is>
          <t>moyenne</t>
        </is>
      </c>
      <c r="AO224" s="7" t="inlineStr">
        <is>
          <t>7|1</t>
        </is>
      </c>
      <c r="AP224" s="7" t="inlineStr">
        <is>
          <t>Experts / Advisors / Associations professionnelles + Décideurs PME/ETI</t>
        </is>
      </c>
      <c r="AQ224" s="7" t="inlineStr">
        <is>
          <t>constaté</t>
        </is>
      </c>
      <c r="AR224" s="12" t="inlineStr"/>
      <c r="AS224" s="7" t="inlineStr">
        <is>
          <t>2</t>
        </is>
      </c>
      <c r="AT224" s="7" t="inlineStr">
        <is>
          <t>Moyen</t>
        </is>
      </c>
      <c r="AU224" s="8" t="inlineStr">
        <is>
          <t>estimé</t>
        </is>
      </c>
      <c r="AV224" s="12" t="inlineStr">
        <is>
          <t>Tarif payant publie par Agenda Tech</t>
        </is>
      </c>
      <c r="AW224" s="7" t="inlineStr">
        <is>
          <t>S:16|4 L:11 N:6 P:7|1 A:2</t>
        </is>
      </c>
    </row>
    <row r="225">
      <c r="A225" s="10" t="inlineStr">
        <is>
          <t>37e Assises Nationales des Commissaires aux Comptes</t>
        </is>
      </c>
      <c r="B225" s="10" t="inlineStr">
        <is>
          <t>Compagnie Nationale des Commissaires aux Comptes (CNCC)</t>
        </is>
      </c>
      <c r="C225" s="10" t="inlineStr">
        <is>
          <t>2026-12-07</t>
        </is>
      </c>
      <c r="D225" s="10" t="inlineStr">
        <is>
          <t>2026-12-08</t>
        </is>
      </c>
      <c r="E225" s="10" t="inlineStr"/>
      <c r="F225" s="10" t="inlineStr">
        <is>
          <t>annuel</t>
        </is>
      </c>
      <c r="G225" s="10" t="inlineStr">
        <is>
          <t>CNIT Forest - Paris La Defense</t>
        </is>
      </c>
      <c r="H225" s="10" t="inlineStr">
        <is>
          <t>Puteaux</t>
        </is>
      </c>
      <c r="I225" s="10" t="inlineStr">
        <is>
          <t>92</t>
        </is>
      </c>
      <c r="J225" s="10" t="inlineStr">
        <is>
          <t>présentiel</t>
        </is>
      </c>
      <c r="K225" s="11" t="inlineStr">
        <is>
          <t>Assises annuelles de la profession de commissaire aux comptes. Theme 2026 : 'AI Innovation &amp; Audit'.</t>
        </is>
      </c>
      <c r="L225" s="11" t="inlineStr">
        <is>
          <t>commissaires aux comptes et professionnels de l'audit legal</t>
        </is>
      </c>
      <c r="M225" s="10" t="inlineStr">
        <is>
          <t>Audit legal, commissariat aux comptes</t>
        </is>
      </c>
      <c r="N225" s="10" t="inlineStr">
        <is>
          <t>Intelligence artificielle appliquee a l'audit (theme central de l'edition 2026)</t>
        </is>
      </c>
      <c r="O225" s="10" t="inlineStr">
        <is>
          <t>1 500 participants et une quarantaine de partenaires</t>
        </is>
      </c>
      <c r="P225" s="10" t="inlineStr">
        <is>
          <t>CONFIRME</t>
        </is>
      </c>
      <c r="Q225" s="11" t="inlineStr">
        <is>
          <t>Chiffres annonces par l'organisateur sur le site des Assises (assises-cncc.fr) et la regie APAR</t>
        </is>
      </c>
      <c r="R225" s="10" t="inlineStr">
        <is>
          <t>billet payant</t>
        </is>
      </c>
      <c r="S225" s="10" t="inlineStr">
        <is>
          <t>oui</t>
        </is>
      </c>
      <c r="T225" s="11" t="inlineStr">
        <is>
          <t>Assises reservees a la profession de commissaire aux comptes</t>
        </is>
      </c>
      <c r="U225" s="10" t="inlineStr">
        <is>
          <t>tarif early bird jusqu'au 30 septembre 2026, montant non publie sur les pages consultees</t>
        </is>
      </c>
      <c r="V225" s="10" t="inlineStr">
        <is>
          <t>https://www.assises-cncc.fr/</t>
        </is>
      </c>
      <c r="W225" s="10" t="inlineStr">
        <is>
          <t>2026-09-15</t>
        </is>
      </c>
      <c r="X225" s="11" t="inlineStr">
        <is>
          <t>TRES FORT ALIGNEMENT IA : l'edition 2026 est entierement axee sur 'AI Innovation &amp; Audit'. La CNCC organise par ailleurs le concours etudiant HackAudit dedie a l'IA dans l'audit.</t>
        </is>
      </c>
      <c r="Y225" s="7" t="inlineStr">
        <is>
          <t>9</t>
        </is>
      </c>
      <c r="Z225" s="7" t="inlineStr">
        <is>
          <t>Services professionnels / Conseil / Juridique / Comptabilité</t>
        </is>
      </c>
      <c r="AA225" s="7" t="inlineStr">
        <is>
          <t>11</t>
        </is>
      </c>
      <c r="AB225" s="7" t="inlineStr">
        <is>
          <t>5</t>
        </is>
      </c>
      <c r="AC225" s="7" t="inlineStr">
        <is>
          <t>4|3</t>
        </is>
      </c>
      <c r="AD225" s="7" t="inlineStr">
        <is>
          <t>2</t>
        </is>
      </c>
      <c r="AE225" s="7" t="inlineStr">
        <is>
          <t>11</t>
        </is>
      </c>
      <c r="AF225" s="7" t="inlineStr">
        <is>
          <t>IA / Automatisation / No-code / Low-code</t>
        </is>
      </c>
      <c r="AG225" s="7" t="inlineStr">
        <is>
          <t>constaté</t>
        </is>
      </c>
      <c r="AH225" s="12" t="inlineStr"/>
      <c r="AI225" s="7" t="inlineStr">
        <is>
          <t>5</t>
        </is>
      </c>
      <c r="AJ225" s="7" t="inlineStr">
        <is>
          <t>401-2000</t>
        </is>
      </c>
      <c r="AK225" s="7" t="inlineStr">
        <is>
          <t>constaté</t>
        </is>
      </c>
      <c r="AL225" s="7" t="inlineStr">
        <is>
          <t>1 500 participants et une quarantaine de partenaires</t>
        </is>
      </c>
      <c r="AM225" s="11" t="inlineStr">
        <is>
          <t>Chiffre publie par l'organisateur (colonne taille_source)</t>
        </is>
      </c>
      <c r="AN225" s="7" t="inlineStr">
        <is>
          <t>haute</t>
        </is>
      </c>
      <c r="AO225" s="7" t="inlineStr">
        <is>
          <t>4|3</t>
        </is>
      </c>
      <c r="AP225" s="7" t="inlineStr">
        <is>
          <t>Partenaires / Prescripteurs / Consultants / Intégrateurs + Opérationnels / Utilisateurs métier</t>
        </is>
      </c>
      <c r="AQ225" s="7" t="inlineStr">
        <is>
          <t>constaté</t>
        </is>
      </c>
      <c r="AR225" s="12" t="inlineStr"/>
      <c r="AS225" s="7" t="inlineStr">
        <is>
          <t>2</t>
        </is>
      </c>
      <c r="AT225" s="7" t="inlineStr">
        <is>
          <t>Moyen</t>
        </is>
      </c>
      <c r="AU225" s="7" t="inlineStr">
        <is>
          <t>constaté</t>
        </is>
      </c>
      <c r="AV225" s="12" t="inlineStr"/>
      <c r="AW225" s="7" t="inlineStr">
        <is>
          <t>S:9 L:11 N:5 P:4|3 A:2</t>
        </is>
      </c>
    </row>
    <row r="226">
      <c r="A226" s="10" t="inlineStr">
        <is>
          <t>Data + AI World Tour Paris 2026</t>
        </is>
      </c>
      <c r="B226" s="10" t="inlineStr">
        <is>
          <t>Databricks</t>
        </is>
      </c>
      <c r="C226" s="10" t="inlineStr">
        <is>
          <t>2026-12-07</t>
        </is>
      </c>
      <c r="D226" s="10" t="inlineStr"/>
      <c r="E226" s="10" t="inlineStr"/>
      <c r="F226" s="10" t="inlineStr">
        <is>
          <t>non identifié publiquement</t>
        </is>
      </c>
      <c r="G226" s="10" t="inlineStr">
        <is>
          <t>Paris La Defense Arena</t>
        </is>
      </c>
      <c r="H226" s="10" t="inlineStr">
        <is>
          <t>Nanterre</t>
        </is>
      </c>
      <c r="I226" s="10" t="inlineStr">
        <is>
          <t>92</t>
        </is>
      </c>
      <c r="J226" s="10" t="inlineStr">
        <is>
          <t>présentiel</t>
        </is>
      </c>
      <c r="K226" s="11" t="inlineStr">
        <is>
          <t>Événement gratuit Databricks à Paris en décembre 2026. Leaders métier, architectes et data engineers explorent le déploiement de l'IA en entreprise.</t>
        </is>
      </c>
      <c r="L226" s="11" t="inlineStr">
        <is>
          <t>non identifié publiquement</t>
        </is>
      </c>
      <c r="M226" s="10" t="inlineStr">
        <is>
          <t>Numerique, informatique, technologies</t>
        </is>
      </c>
      <c r="N226" s="10" t="inlineStr">
        <is>
          <t>Data + AI World Tour Paris 2026 - Événement gratuit Databricks à Paris en décembre 2026. Leaders métier, architectes et data engineers explorent</t>
        </is>
      </c>
      <c r="O226" s="10" t="inlineStr">
        <is>
          <t>non identifié publiquement</t>
        </is>
      </c>
      <c r="P226" s="10" t="inlineStr">
        <is>
          <t>ESTIME</t>
        </is>
      </c>
      <c r="Q226" s="11" t="inlineStr">
        <is>
          <t>Effectif attendu publie par l'agregateur specialise Agenda Tech pour cette edition</t>
        </is>
      </c>
      <c r="R226" s="10" t="inlineStr">
        <is>
          <t>non identifié publiquement</t>
        </is>
      </c>
      <c r="S226" s="10" t="inlineStr">
        <is>
          <t>non</t>
        </is>
      </c>
      <c r="T226" s="11" t="inlineStr"/>
      <c r="U226" s="10" t="inlineStr">
        <is>
          <t>non identifié publiquement</t>
        </is>
      </c>
      <c r="V226" s="10" t="inlineStr">
        <is>
          <t>https://www.agenda-tech.com/events/data-ai-world-tour-paris-2026</t>
        </is>
      </c>
      <c r="W226" s="10" t="inlineStr">
        <is>
          <t>2026-09-15</t>
        </is>
      </c>
      <c r="X226" s="11" t="inlineStr">
        <is>
          <t>Identifie via l'agregateur specialise Agenda Tech (donnees structurees schema.org publiees par l'organisateur).</t>
        </is>
      </c>
      <c r="Y226" s="7" t="inlineStr">
        <is>
          <t>16|4</t>
        </is>
      </c>
      <c r="Z226" s="7" t="inlineStr">
        <is>
          <t>IA / Intelligence artificielle + Tech / IT / Logiciels / Télécom</t>
        </is>
      </c>
      <c r="AA226" s="7" t="inlineStr">
        <is>
          <t>9</t>
        </is>
      </c>
      <c r="AB226" s="7" t="inlineStr"/>
      <c r="AC226" s="7" t="inlineStr">
        <is>
          <t>4</t>
        </is>
      </c>
      <c r="AD226" s="7" t="inlineStr"/>
      <c r="AE226" s="7" t="inlineStr">
        <is>
          <t>9</t>
        </is>
      </c>
      <c r="AF226" s="7" t="inlineStr">
        <is>
          <t>Data / BI / Analytics</t>
        </is>
      </c>
      <c r="AG226" s="7" t="inlineStr">
        <is>
          <t>constaté</t>
        </is>
      </c>
      <c r="AH226" s="12" t="inlineStr"/>
      <c r="AI226" s="7" t="inlineStr">
        <is>
          <t>6</t>
        </is>
      </c>
      <c r="AJ226" s="7" t="inlineStr">
        <is>
          <t>&gt;2000</t>
        </is>
      </c>
      <c r="AK226" s="8" t="inlineStr">
        <is>
          <t>estimé</t>
        </is>
      </c>
      <c r="AL226" s="7" t="inlineStr">
        <is>
          <t>environ 40000 participants</t>
        </is>
      </c>
      <c r="AM226" s="11" t="inlineStr">
        <is>
          <t>Effectif attendu publie par Agenda Tech (agregateur specialise, chiffre de l'organisateur ou de l'agregateur)</t>
        </is>
      </c>
      <c r="AN226" s="7" t="inlineStr">
        <is>
          <t>moyenne</t>
        </is>
      </c>
      <c r="AO226" s="7" t="inlineStr">
        <is>
          <t>4</t>
        </is>
      </c>
      <c r="AP226" s="7" t="inlineStr">
        <is>
          <t>Partenaires / Prescripteurs / Consultants / Intégrateurs</t>
        </is>
      </c>
      <c r="AQ226" s="7" t="inlineStr">
        <is>
          <t>constaté</t>
        </is>
      </c>
      <c r="AR226" s="12" t="inlineStr"/>
      <c r="AS226" s="7" t="inlineStr">
        <is>
          <t>2</t>
        </is>
      </c>
      <c r="AT226" s="7" t="inlineStr">
        <is>
          <t>Moyen</t>
        </is>
      </c>
      <c r="AU226" s="8" t="inlineStr">
        <is>
          <t>estimé</t>
        </is>
      </c>
      <c r="AV226" s="12" t="inlineStr">
        <is>
          <t>Billetterie en vente libre (mention 'Voir tarifs sur le site' chez Agenda Tech), sans gratuite confirmee</t>
        </is>
      </c>
      <c r="AW226" s="7" t="inlineStr">
        <is>
          <t>S:16|4 L:9 N:6 P:4 A:2</t>
        </is>
      </c>
    </row>
    <row r="227">
      <c r="A227" s="10" t="inlineStr">
        <is>
          <t>IMMO - Le Congres Immobilier FNAIM 2026 (80e edition)</t>
        </is>
      </c>
      <c r="B227" s="10" t="inlineStr">
        <is>
          <t>FNAIM (Federation Nationale de l'Immobilier)</t>
        </is>
      </c>
      <c r="C227" s="10" t="inlineStr">
        <is>
          <t>2026-12-07</t>
        </is>
      </c>
      <c r="D227" s="10" t="inlineStr">
        <is>
          <t>2026-12-08</t>
        </is>
      </c>
      <c r="E227" s="10" t="inlineStr"/>
      <c r="F227" s="10" t="inlineStr">
        <is>
          <t>annuel</t>
        </is>
      </c>
      <c r="G227" s="10" t="inlineStr">
        <is>
          <t>Palais des Congres de Paris (Porte Maillot)</t>
        </is>
      </c>
      <c r="H227" s="10" t="inlineStr">
        <is>
          <t>Paris 17e</t>
        </is>
      </c>
      <c r="I227" s="10" t="inlineStr">
        <is>
          <t>75</t>
        </is>
      </c>
      <c r="J227" s="10" t="inlineStr">
        <is>
          <t>présentiel</t>
        </is>
      </c>
      <c r="K227" s="11" t="inlineStr">
        <is>
          <t>80e edition du congres de la federation des professionnels de l'immobilier, au format entierement repense. Les principaux candidats declares a la presidentielle 2027 y presentent leur programme logement.</t>
        </is>
      </c>
      <c r="L227" s="11" t="inlineStr">
        <is>
          <t>professionnels de l'immobilier, adherents FNAIM</t>
        </is>
      </c>
      <c r="M227" s="10" t="inlineStr">
        <is>
          <t>Immobilier, transaction, gestion locative, syndic</t>
        </is>
      </c>
      <c r="N227" s="10" t="inlineStr">
        <is>
          <t>non identifié publiquement</t>
        </is>
      </c>
      <c r="O227" s="10" t="inlineStr">
        <is>
          <t>non identifié publiquement</t>
        </is>
      </c>
      <c r="P227" s="10" t="inlineStr"/>
      <c r="Q227" s="11" t="inlineStr"/>
      <c r="R227" s="10" t="inlineStr">
        <is>
          <t>inscription libre</t>
        </is>
      </c>
      <c r="S227" s="10" t="inlineStr">
        <is>
          <t>oui</t>
        </is>
      </c>
      <c r="T227" s="11" t="inlineStr">
        <is>
          <t>Congres de federation professionnelle, oriente adherents FNAIM et professionnels de l'immobilier</t>
        </is>
      </c>
      <c r="U227" s="10" t="inlineStr">
        <is>
          <t>non identifié publiquement</t>
        </is>
      </c>
      <c r="V227" s="10" t="inlineStr">
        <is>
          <t>https://www.fnaim.fr/4377-immo-le-congres-immobilier-fnaim-2026-a-vos-agendas-.htm</t>
        </is>
      </c>
      <c r="W227" s="10" t="inlineStr">
        <is>
          <t>2026-09-15</t>
        </is>
      </c>
      <c r="X227" s="11" t="inlineStr">
        <is>
          <t>Confirme par deux sources concordantes : agenda du lieu (Viparis) et communique de la FNAIM. Premiere fois que les principaux candidats declares a la presidentielle 2027 sont reunis sur une meme scene sur le theme du logement. Les agences FNAIM sont majoritairement des TPE-PME ; les reseaux et administrateurs de biens presents relevent de l'ICP.</t>
        </is>
      </c>
      <c r="Y227" s="7" t="inlineStr">
        <is>
          <t>2</t>
        </is>
      </c>
      <c r="Z227" s="7" t="inlineStr">
        <is>
          <t>Immobilier / Construction / BTP</t>
        </is>
      </c>
      <c r="AA227" s="7" t="inlineStr"/>
      <c r="AB227" s="7" t="inlineStr"/>
      <c r="AC227" s="7" t="inlineStr">
        <is>
          <t>3</t>
        </is>
      </c>
      <c r="AD227" s="7" t="inlineStr">
        <is>
          <t>2</t>
        </is>
      </c>
      <c r="AE227" s="7" t="inlineStr">
        <is>
          <t>0</t>
        </is>
      </c>
      <c r="AF227" s="7" t="inlineStr">
        <is>
          <t>Générique / Multi-éditeurs / Sans dominante</t>
        </is>
      </c>
      <c r="AG227" s="8" t="inlineStr">
        <is>
          <t>estimé</t>
        </is>
      </c>
      <c r="AH227" s="12" t="inlineStr">
        <is>
          <t>Aucune dimension logicielle dans le positionnement de l'organisateur : rattache au 0 (sans dominante) plutot que laisse vide, conformement a la demande de non-vide</t>
        </is>
      </c>
      <c r="AI227" s="7" t="inlineStr">
        <is>
          <t>6</t>
        </is>
      </c>
      <c r="AJ227" s="7" t="inlineStr">
        <is>
          <t>&gt;2000</t>
        </is>
      </c>
      <c r="AK227" s="8" t="inlineStr">
        <is>
          <t>estimé</t>
        </is>
      </c>
      <c r="AL227" s="7" t="inlineStr">
        <is>
          <t>estimation : 1000 a 6000 participants</t>
        </is>
      </c>
      <c r="AM227" s="11" t="inlineStr">
        <is>
          <t>Modele de format (congres de societe savante), fourchette 1000-6000, plafonnee par la capacite du lieu (Palais des Congres de Paris (Porte Maill ~ 10000)</t>
        </is>
      </c>
      <c r="AN227" s="7" t="inlineStr">
        <is>
          <t>moyenne</t>
        </is>
      </c>
      <c r="AO227" s="7" t="inlineStr">
        <is>
          <t>3</t>
        </is>
      </c>
      <c r="AP227" s="7" t="inlineStr">
        <is>
          <t>Opérationnels / Utilisateurs métier</t>
        </is>
      </c>
      <c r="AQ227" s="7" t="inlineStr">
        <is>
          <t>constaté</t>
        </is>
      </c>
      <c r="AR227" s="12" t="inlineStr"/>
      <c r="AS227" s="7" t="inlineStr">
        <is>
          <t>2</t>
        </is>
      </c>
      <c r="AT227" s="7" t="inlineStr">
        <is>
          <t>Moyen</t>
        </is>
      </c>
      <c r="AU227" s="7" t="inlineStr">
        <is>
          <t>constaté</t>
        </is>
      </c>
      <c r="AV227" s="12" t="inlineStr"/>
      <c r="AW227" s="7" t="inlineStr">
        <is>
          <t>S:2 L:0 N:6 P:3 A:2</t>
        </is>
      </c>
    </row>
    <row r="228">
      <c r="A228" s="10" t="inlineStr">
        <is>
          <t>World Nuclear Exhibition (WNE) 2026</t>
        </is>
      </c>
      <c r="B228" s="10" t="inlineStr">
        <is>
          <t>RX France (Reed Exhibitions) / GIFEN</t>
        </is>
      </c>
      <c r="C228" s="10" t="inlineStr">
        <is>
          <t>2026-12-07</t>
        </is>
      </c>
      <c r="D228" s="10" t="inlineStr">
        <is>
          <t>2026-12-09</t>
        </is>
      </c>
      <c r="E228" s="10" t="inlineStr"/>
      <c r="F228" s="10" t="inlineStr">
        <is>
          <t>biennal (annees paires)</t>
        </is>
      </c>
      <c r="G228" s="10" t="inlineStr">
        <is>
          <t>Parc des Expositions de Paris Nord Villepinte</t>
        </is>
      </c>
      <c r="H228" s="10" t="inlineStr">
        <is>
          <t>Villepinte</t>
        </is>
      </c>
      <c r="I228" s="10" t="inlineStr">
        <is>
          <t>93</t>
        </is>
      </c>
      <c r="J228" s="10" t="inlineStr">
        <is>
          <t>présentiel</t>
        </is>
      </c>
      <c r="K228" s="11" t="inlineStr">
        <is>
          <t>Le salon mondial du nucléaire civil</t>
        </is>
      </c>
      <c r="L228" s="11" t="inlineStr">
        <is>
          <t>Visitorat : réservé aux professionnels (fiche CCI Paris Ile-de-France)</t>
        </is>
      </c>
      <c r="M228" s="10" t="inlineStr">
        <is>
          <t>Environnement et énergie</t>
        </is>
      </c>
      <c r="N228" s="10" t="inlineStr">
        <is>
          <t>non identifié publiquement</t>
        </is>
      </c>
      <c r="O228" s="10" t="inlineStr">
        <is>
          <t>non identifié publiquement</t>
        </is>
      </c>
      <c r="P228" s="10" t="inlineStr"/>
      <c r="Q228" s="11" t="inlineStr"/>
      <c r="R228" s="10" t="inlineStr">
        <is>
          <t>billet payant</t>
        </is>
      </c>
      <c r="S228" s="10" t="inlineStr">
        <is>
          <t>oui</t>
        </is>
      </c>
      <c r="T228" s="11" t="inlineStr">
        <is>
          <t>Salon reserve aux professionnels de la filiere nucleaire civile</t>
        </is>
      </c>
      <c r="U228" s="10" t="inlineStr">
        <is>
          <t>non identifié publiquement</t>
        </is>
      </c>
      <c r="V228" s="10" t="inlineStr">
        <is>
          <t>https://www.cci-paris-idf.fr/fr/evenements-salons/salons-foires-paris-ile-de-france/world-nuclear-exhibition-wne</t>
        </is>
      </c>
      <c r="W228" s="10" t="inlineStr">
        <is>
          <t>2026-09-15</t>
        </is>
      </c>
      <c r="X228" s="11" t="inlineStr">
        <is>
          <t>Filiere nucleaire francaise : forte densite de PME et ETI sous-traitantes, bon terrain ICP.</t>
        </is>
      </c>
      <c r="Y228" s="7" t="inlineStr">
        <is>
          <t>11</t>
        </is>
      </c>
      <c r="Z228" s="7" t="inlineStr">
        <is>
          <t>Énergie / Environnement / Utilities</t>
        </is>
      </c>
      <c r="AA228" s="7" t="inlineStr"/>
      <c r="AB228" s="7" t="inlineStr"/>
      <c r="AC228" s="7" t="inlineStr"/>
      <c r="AD228" s="7" t="inlineStr">
        <is>
          <t>2</t>
        </is>
      </c>
      <c r="AE228" s="7" t="inlineStr">
        <is>
          <t>0</t>
        </is>
      </c>
      <c r="AF228" s="7" t="inlineStr">
        <is>
          <t>Générique / Multi-éditeurs / Sans dominante</t>
        </is>
      </c>
      <c r="AG228" s="8" t="inlineStr">
        <is>
          <t>estimé</t>
        </is>
      </c>
      <c r="AH228" s="12" t="inlineStr">
        <is>
          <t>Aucune dimension logicielle dans le positionnement de l'organisateur : rattache au 0 (sans dominante) plutot que laisse vide, conformement a la demande de non-vide</t>
        </is>
      </c>
      <c r="AI228" s="7" t="inlineStr">
        <is>
          <t>6</t>
        </is>
      </c>
      <c r="AJ228" s="7" t="inlineStr">
        <is>
          <t>&gt;2000</t>
        </is>
      </c>
      <c r="AK228" s="8" t="inlineStr">
        <is>
          <t>estimé</t>
        </is>
      </c>
      <c r="AL228" s="7" t="inlineStr">
        <is>
          <t>estimation : 3000 a 30000 participants</t>
        </is>
      </c>
      <c r="AM228" s="11" t="inlineStr">
        <is>
          <t>Modele de format (salon professionnel en parc d'exposition), fourchette 3000-30000, plafonnee par la capacite du lieu (Parc des Expositions de Paris Nord Ville ~ 200000)</t>
        </is>
      </c>
      <c r="AN228" s="7" t="inlineStr">
        <is>
          <t>moyenne</t>
        </is>
      </c>
      <c r="AO228" s="7" t="inlineStr">
        <is>
          <t>1</t>
        </is>
      </c>
      <c r="AP228" s="7" t="inlineStr">
        <is>
          <t>Décideurs PME/ETI</t>
        </is>
      </c>
      <c r="AQ228" s="8" t="inlineStr">
        <is>
          <t>estimé</t>
        </is>
      </c>
      <c r="AR228" s="12" t="inlineStr">
        <is>
          <t>Par defaut, evenement B2B francilien : decideurs PME/ETI</t>
        </is>
      </c>
      <c r="AS228" s="7" t="inlineStr">
        <is>
          <t>2</t>
        </is>
      </c>
      <c r="AT228" s="7" t="inlineStr">
        <is>
          <t>Moyen</t>
        </is>
      </c>
      <c r="AU228" s="7" t="inlineStr">
        <is>
          <t>constaté</t>
        </is>
      </c>
      <c r="AV228" s="12" t="inlineStr"/>
      <c r="AW228" s="7" t="inlineStr">
        <is>
          <t>S:11 L:0 N:6 P:1 A:2</t>
        </is>
      </c>
    </row>
    <row r="229">
      <c r="A229" s="10" t="inlineStr">
        <is>
          <t>NeurIPS 2026</t>
        </is>
      </c>
      <c r="B229" s="10" t="inlineStr">
        <is>
          <t>NeurIPS Foundation</t>
        </is>
      </c>
      <c r="C229" s="10" t="inlineStr">
        <is>
          <t>2026-12-08</t>
        </is>
      </c>
      <c r="D229" s="10" t="inlineStr">
        <is>
          <t>2026-12-12</t>
        </is>
      </c>
      <c r="E229" s="10" t="inlineStr"/>
      <c r="F229" s="10" t="inlineStr">
        <is>
          <t>non identifié publiquement</t>
        </is>
      </c>
      <c r="G229" s="10" t="inlineStr">
        <is>
          <t>non identifié publiquement</t>
        </is>
      </c>
      <c r="H229" s="10" t="inlineStr">
        <is>
          <t>Paris (arrondissement non communique)</t>
        </is>
      </c>
      <c r="I229" s="10" t="inlineStr">
        <is>
          <t>75</t>
        </is>
      </c>
      <c r="J229" s="10" t="inlineStr">
        <is>
          <t>présentiel</t>
        </is>
      </c>
      <c r="K229" s="11" t="inlineStr">
        <is>
          <t>NeurIPS 2026, la 40e conférence annuelle sur les systèmes de traitement de l'information neuronale. Sydney 6-12 décembre, avec satellites à Atlanta et Paris.</t>
        </is>
      </c>
      <c r="L229" s="11" t="inlineStr">
        <is>
          <t>non identifié publiquement</t>
        </is>
      </c>
      <c r="M229" s="10" t="inlineStr">
        <is>
          <t>Numerique, informatique, technologies</t>
        </is>
      </c>
      <c r="N229" s="10" t="inlineStr">
        <is>
          <t>NeurIPS 2026 - NeurIPS 2026, la 40e conférence annuelle sur les systèmes de traitement de l'information neuronale. Sydney 6-1</t>
        </is>
      </c>
      <c r="O229" s="10" t="inlineStr">
        <is>
          <t>non identifié publiquement</t>
        </is>
      </c>
      <c r="P229" s="10" t="inlineStr"/>
      <c r="Q229" s="11" t="inlineStr"/>
      <c r="R229" s="10" t="inlineStr">
        <is>
          <t>non identifié publiquement</t>
        </is>
      </c>
      <c r="S229" s="10" t="inlineStr">
        <is>
          <t>non</t>
        </is>
      </c>
      <c r="T229" s="11" t="inlineStr"/>
      <c r="U229" s="10" t="inlineStr">
        <is>
          <t>non identifié publiquement</t>
        </is>
      </c>
      <c r="V229" s="10" t="inlineStr">
        <is>
          <t>https://www.agenda-tech.com/events/neurips-2026-sydney</t>
        </is>
      </c>
      <c r="W229" s="10" t="inlineStr">
        <is>
          <t>2026-09-15</t>
        </is>
      </c>
      <c r="X229" s="11" t="inlineStr">
        <is>
          <t>Identifie via l'agregateur specialise Agenda Tech (donnees structurees schema.org publiees par l'organisateur).</t>
        </is>
      </c>
      <c r="Y229" s="7" t="inlineStr">
        <is>
          <t>16|4</t>
        </is>
      </c>
      <c r="Z229" s="7" t="inlineStr">
        <is>
          <t>IA / Intelligence artificielle + Tech / IT / Logiciels / Télécom</t>
        </is>
      </c>
      <c r="AA229" s="7" t="inlineStr">
        <is>
          <t>11</t>
        </is>
      </c>
      <c r="AB229" s="7" t="inlineStr"/>
      <c r="AC229" s="7" t="inlineStr"/>
      <c r="AD229" s="7" t="inlineStr"/>
      <c r="AE229" s="7" t="inlineStr">
        <is>
          <t>11</t>
        </is>
      </c>
      <c r="AF229" s="7" t="inlineStr">
        <is>
          <t>IA / Automatisation / No-code / Low-code</t>
        </is>
      </c>
      <c r="AG229" s="7" t="inlineStr">
        <is>
          <t>déduit</t>
        </is>
      </c>
      <c r="AH229" s="12" t="inlineStr">
        <is>
          <t>Deduit du secteur (axe 1)</t>
        </is>
      </c>
      <c r="AI229" s="7" t="inlineStr">
        <is>
          <t>4</t>
        </is>
      </c>
      <c r="AJ229" s="7" t="inlineStr">
        <is>
          <t>121-400</t>
        </is>
      </c>
      <c r="AK229" s="8" t="inlineStr">
        <is>
          <t>estimé</t>
        </is>
      </c>
      <c r="AL229" s="7" t="inlineStr">
        <is>
          <t>estimation : 200 a 800 participants</t>
        </is>
      </c>
      <c r="AM229" s="11" t="inlineStr">
        <is>
          <t>Modele de format (conference technique ou sectorielle), fourchette 200-800</t>
        </is>
      </c>
      <c r="AN229" s="7" t="inlineStr">
        <is>
          <t>moyenne</t>
        </is>
      </c>
      <c r="AO229" s="7" t="inlineStr">
        <is>
          <t>3</t>
        </is>
      </c>
      <c r="AP229" s="7" t="inlineStr">
        <is>
          <t>Opérationnels / Utilisateurs métier</t>
        </is>
      </c>
      <c r="AQ229" s="8" t="inlineStr">
        <is>
          <t>estimé</t>
        </is>
      </c>
      <c r="AR229" s="12" t="inlineStr">
        <is>
          <t>Conference technique IA : profils operationnels et utilisateurs metier</t>
        </is>
      </c>
      <c r="AS229" s="7" t="inlineStr">
        <is>
          <t>2</t>
        </is>
      </c>
      <c r="AT229" s="7" t="inlineStr">
        <is>
          <t>Moyen</t>
        </is>
      </c>
      <c r="AU229" s="8" t="inlineStr">
        <is>
          <t>estimé</t>
        </is>
      </c>
      <c r="AV229" s="12" t="inlineStr">
        <is>
          <t>Billetterie en vente libre (mention 'Voir tarifs sur le site' chez Agenda Tech), sans gratuite confirmee</t>
        </is>
      </c>
      <c r="AW229" s="7" t="inlineStr">
        <is>
          <t>S:16|4 L:11 N:4 P:3 A:2</t>
        </is>
      </c>
    </row>
    <row r="230">
      <c r="A230" s="10" t="inlineStr">
        <is>
          <t>Objectif Scale-up Deep Tech - Atelier 3</t>
        </is>
      </c>
      <c r="B230" s="10" t="inlineStr">
        <is>
          <t>Pole Systematic Paris-Region</t>
        </is>
      </c>
      <c r="C230" s="10" t="inlineStr">
        <is>
          <t>2026-12-08</t>
        </is>
      </c>
      <c r="D230" s="10" t="inlineStr"/>
      <c r="E230" s="10" t="inlineStr"/>
      <c r="F230" s="10" t="inlineStr">
        <is>
          <t>non identifié publiquement</t>
        </is>
      </c>
      <c r="G230" s="10" t="inlineStr">
        <is>
          <t>Adresse communiquee lors de l'inscription</t>
        </is>
      </c>
      <c r="H230" s="10" t="inlineStr">
        <is>
          <t>Paris (arrondissement non communique)</t>
        </is>
      </c>
      <c r="I230" s="10" t="inlineStr">
        <is>
          <t>75</t>
        </is>
      </c>
      <c r="J230" s="10" t="inlineStr">
        <is>
          <t>présentiel</t>
        </is>
      </c>
      <c r="K230" s="11" t="inlineStr">
        <is>
          <t>Troisieme atelier du programme d'accompagnement a la mise a l'echelle des entreprises deep tech.</t>
        </is>
      </c>
      <c r="L230" s="11" t="inlineStr">
        <is>
          <t>non identifié publiquement</t>
        </is>
      </c>
      <c r="M230" s="10" t="inlineStr">
        <is>
          <t>Deep tech, industrie, numerique</t>
        </is>
      </c>
      <c r="N230" s="10" t="inlineStr">
        <is>
          <t>Tags organisateur : Advanced Engineering &amp; Computing, Cyber &amp; Security, Data Science &amp; Artificial Intelligence, Digital Infrastructure, Open Source</t>
        </is>
      </c>
      <c r="O230" s="10" t="inlineStr">
        <is>
          <t>non identifié publiquement</t>
        </is>
      </c>
      <c r="P230" s="10" t="inlineStr"/>
      <c r="Q230" s="11" t="inlineStr"/>
      <c r="R230" s="10" t="inlineStr">
        <is>
          <t>inscription libre</t>
        </is>
      </c>
      <c r="S230" s="10" t="inlineStr">
        <is>
          <t>oui</t>
        </is>
      </c>
      <c r="T230" s="11" t="inlineStr">
        <is>
          <t>Atelier d'un programme d'accompagnement, adresse communiquee uniquement aux inscrits</t>
        </is>
      </c>
      <c r="U230" s="10" t="inlineStr">
        <is>
          <t>non identifié publiquement</t>
        </is>
      </c>
      <c r="V230" s="10" t="inlineStr">
        <is>
          <t>https://systematic-paris-region.org/evenement/objectif-scale-up-deep-tech-atelier-3/</t>
        </is>
      </c>
      <c r="W230" s="10" t="inlineStr">
        <is>
          <t>2026-09-15</t>
        </is>
      </c>
      <c r="X230" s="11" t="inlineStr"/>
      <c r="Y230" s="7" t="inlineStr">
        <is>
          <t>4|3</t>
        </is>
      </c>
      <c r="Z230" s="7" t="inlineStr">
        <is>
          <t>Tech / IT / Logiciels / Télécom + Industrie / Manufacturing / Automobile / Aéronautique</t>
        </is>
      </c>
      <c r="AA230" s="7" t="inlineStr">
        <is>
          <t>10</t>
        </is>
      </c>
      <c r="AB230" s="7" t="inlineStr"/>
      <c r="AC230" s="7" t="inlineStr">
        <is>
          <t>5</t>
        </is>
      </c>
      <c r="AD230" s="7" t="inlineStr">
        <is>
          <t>2</t>
        </is>
      </c>
      <c r="AE230" s="7" t="inlineStr">
        <is>
          <t>10</t>
        </is>
      </c>
      <c r="AF230" s="7" t="inlineStr">
        <is>
          <t>Cybersécurité</t>
        </is>
      </c>
      <c r="AG230" s="7" t="inlineStr">
        <is>
          <t>constaté</t>
        </is>
      </c>
      <c r="AH230" s="12" t="inlineStr"/>
      <c r="AI230" s="7" t="inlineStr">
        <is>
          <t>3</t>
        </is>
      </c>
      <c r="AJ230" s="7" t="inlineStr">
        <is>
          <t>41-120</t>
        </is>
      </c>
      <c r="AK230" s="8" t="inlineStr">
        <is>
          <t>estimé</t>
        </is>
      </c>
      <c r="AL230" s="7" t="inlineStr">
        <is>
          <t>estimation : 50 a 250 participants</t>
        </is>
      </c>
      <c r="AM230" s="11" t="inlineStr">
        <is>
          <t>Modele de format (rendez-vous de pole de competitivite ou de cluster), fourchette 50-250</t>
        </is>
      </c>
      <c r="AN230" s="7" t="inlineStr">
        <is>
          <t>moyenne</t>
        </is>
      </c>
      <c r="AO230" s="7" t="inlineStr">
        <is>
          <t>5</t>
        </is>
      </c>
      <c r="AP230" s="7" t="inlineStr">
        <is>
          <t>Pairs / Concurrents / Acteurs de l'offre</t>
        </is>
      </c>
      <c r="AQ230" s="7" t="inlineStr">
        <is>
          <t>constaté</t>
        </is>
      </c>
      <c r="AR230" s="12" t="inlineStr"/>
      <c r="AS230" s="7" t="inlineStr">
        <is>
          <t>2</t>
        </is>
      </c>
      <c r="AT230" s="7" t="inlineStr">
        <is>
          <t>Moyen</t>
        </is>
      </c>
      <c r="AU230" s="7" t="inlineStr">
        <is>
          <t>constaté</t>
        </is>
      </c>
      <c r="AV230" s="12" t="inlineStr"/>
      <c r="AW230" s="7" t="inlineStr">
        <is>
          <t>S:4|3 L:10 N:3 P:5 A:2</t>
        </is>
      </c>
    </row>
    <row r="231">
      <c r="A231" s="10" t="inlineStr">
        <is>
          <t>Open Source Experience 2026</t>
        </is>
      </c>
      <c r="B231" s="10" t="inlineStr">
        <is>
          <t>non identifié publiquement</t>
        </is>
      </c>
      <c r="C231" s="10" t="inlineStr">
        <is>
          <t>2026-12-08</t>
        </is>
      </c>
      <c r="D231" s="10" t="inlineStr">
        <is>
          <t>2026-12-10</t>
        </is>
      </c>
      <c r="E231" s="10" t="inlineStr"/>
      <c r="F231" s="10" t="inlineStr">
        <is>
          <t>annuel</t>
        </is>
      </c>
      <c r="G231" s="10" t="inlineStr">
        <is>
          <t>Paris Expo Porte de Versailles</t>
        </is>
      </c>
      <c r="H231" s="10" t="inlineStr">
        <is>
          <t>Paris 15e</t>
        </is>
      </c>
      <c r="I231" s="10" t="inlineStr">
        <is>
          <t>75</t>
        </is>
      </c>
      <c r="J231" s="10" t="inlineStr">
        <is>
          <t>présentiel</t>
        </is>
      </c>
      <c r="K231" s="11" t="inlineStr">
        <is>
          <t>Evenement Tech, Usage et Business dedie aux solutions open source.</t>
        </is>
      </c>
      <c r="L231" s="11" t="inlineStr">
        <is>
          <t>Visitorat : réservé aux professionnels (fiche CCI Paris Ile-de-France)</t>
        </is>
      </c>
      <c r="M231" s="10" t="inlineStr">
        <is>
          <t>Informatique, télécommunications, audiovisuel et multimédia</t>
        </is>
      </c>
      <c r="N231" s="10" t="inlineStr">
        <is>
          <t>Open source, souverainete numerique, infrastructures et briques logicielles libres</t>
        </is>
      </c>
      <c r="O231" s="10" t="inlineStr">
        <is>
          <t>non identifié publiquement</t>
        </is>
      </c>
      <c r="P231" s="10" t="inlineStr">
        <is>
          <t>CONFIRME</t>
        </is>
      </c>
      <c r="Q231" s="11" t="inlineStr">
        <is>
          <t>Chiffres annonces par l'organisateur (opensource-experience.com)</t>
        </is>
      </c>
      <c r="R231" s="10" t="inlineStr">
        <is>
          <t>inscription libre</t>
        </is>
      </c>
      <c r="S231" s="10" t="inlineStr">
        <is>
          <t>oui</t>
        </is>
      </c>
      <c r="T231" s="11" t="inlineStr">
        <is>
          <t>Evenement B2B reserve aux professionnels</t>
        </is>
      </c>
      <c r="U231" s="10" t="inlineStr">
        <is>
          <t>non identifié publiquement</t>
        </is>
      </c>
      <c r="V231" s="10" t="inlineStr">
        <is>
          <t>https://www.cci-paris-idf.fr/fr/evenements-salons/salons-foires-paris-ile-de-france/open-source-experience</t>
        </is>
      </c>
      <c r="W231" s="10" t="inlineStr">
        <is>
          <t>2026-09-15</t>
        </is>
      </c>
      <c r="X231" s="11" t="inlineStr">
        <is>
          <t>FORT ALIGNEMENT : souverainete numerique et open source, sujets porteurs pour un cabinet IA francais.</t>
        </is>
      </c>
      <c r="Y231" s="7" t="inlineStr">
        <is>
          <t>4</t>
        </is>
      </c>
      <c r="Z231" s="7" t="inlineStr">
        <is>
          <t>Tech / IT / Logiciels / Télécom</t>
        </is>
      </c>
      <c r="AA231" s="7" t="inlineStr">
        <is>
          <t>0</t>
        </is>
      </c>
      <c r="AB231" s="7" t="inlineStr"/>
      <c r="AC231" s="7" t="inlineStr"/>
      <c r="AD231" s="7" t="inlineStr">
        <is>
          <t>2</t>
        </is>
      </c>
      <c r="AE231" s="7" t="inlineStr">
        <is>
          <t>0</t>
        </is>
      </c>
      <c r="AF231" s="7" t="inlineStr">
        <is>
          <t>Générique / Multi-éditeurs / Sans dominante</t>
        </is>
      </c>
      <c r="AG231" s="7" t="inlineStr">
        <is>
          <t>déduit</t>
        </is>
      </c>
      <c r="AH231" s="12" t="inlineStr">
        <is>
          <t>Deduit du secteur (axe 1)</t>
        </is>
      </c>
      <c r="AI231" s="7" t="inlineStr">
        <is>
          <t>6</t>
        </is>
      </c>
      <c r="AJ231" s="7" t="inlineStr">
        <is>
          <t>&gt;2000</t>
        </is>
      </c>
      <c r="AK231" s="7" t="inlineStr">
        <is>
          <t>constaté</t>
        </is>
      </c>
      <c r="AL231" s="7" t="inlineStr">
        <is>
          <t>plus de 6 000 professionnels, 90 exposants</t>
        </is>
      </c>
      <c r="AM231" s="11" t="inlineStr">
        <is>
          <t>Chiffres annonces par l'organisateur (opensource-experience.com)</t>
        </is>
      </c>
      <c r="AN231" s="7" t="inlineStr">
        <is>
          <t>haute</t>
        </is>
      </c>
      <c r="AO231" s="7" t="inlineStr">
        <is>
          <t>1</t>
        </is>
      </c>
      <c r="AP231" s="7" t="inlineStr">
        <is>
          <t>Décideurs PME/ETI</t>
        </is>
      </c>
      <c r="AQ231" s="8" t="inlineStr">
        <is>
          <t>estimé</t>
        </is>
      </c>
      <c r="AR231" s="12" t="inlineStr">
        <is>
          <t>Par defaut, evenement B2B francilien : decideurs PME/ETI</t>
        </is>
      </c>
      <c r="AS231" s="7" t="inlineStr">
        <is>
          <t>2</t>
        </is>
      </c>
      <c r="AT231" s="7" t="inlineStr">
        <is>
          <t>Moyen</t>
        </is>
      </c>
      <c r="AU231" s="7" t="inlineStr">
        <is>
          <t>constaté</t>
        </is>
      </c>
      <c r="AV231" s="12" t="inlineStr"/>
      <c r="AW231" s="7" t="inlineStr">
        <is>
          <t>S:4 L:0 N:6 P:1 A:2</t>
        </is>
      </c>
    </row>
    <row r="232">
      <c r="A232" s="10" t="inlineStr">
        <is>
          <t>Power Platform French Summit 2026</t>
        </is>
      </c>
      <c r="B232" s="10" t="inlineStr">
        <is>
          <t>Power Platform French Summit</t>
        </is>
      </c>
      <c r="C232" s="10" t="inlineStr">
        <is>
          <t>2026-12-08</t>
        </is>
      </c>
      <c r="D232" s="10" t="inlineStr">
        <is>
          <t>2026-12-09</t>
        </is>
      </c>
      <c r="E232" s="10" t="inlineStr"/>
      <c r="F232" s="10" t="inlineStr">
        <is>
          <t>non identifié publiquement</t>
        </is>
      </c>
      <c r="G232" s="10" t="inlineStr">
        <is>
          <t>non identifié publiquement</t>
        </is>
      </c>
      <c r="H232" s="10" t="inlineStr">
        <is>
          <t>Paris (arrondissement non communique)</t>
        </is>
      </c>
      <c r="I232" s="10" t="inlineStr">
        <is>
          <t>75</t>
        </is>
      </c>
      <c r="J232" s="10" t="inlineStr">
        <is>
          <t>présentiel</t>
        </is>
      </c>
      <c r="K232" s="11" t="inlineStr">
        <is>
          <t>Événement francophone Microsoft Power Platform les 8 et 9 décembre 2026 à Paris. 75 sessions, keynote, mode hybride. Azure, Dynamics 365, Microsoft 365.</t>
        </is>
      </c>
      <c r="L232" s="11" t="inlineStr">
        <is>
          <t>non identifié publiquement</t>
        </is>
      </c>
      <c r="M232" s="10" t="inlineStr">
        <is>
          <t>Numerique, informatique, technologies</t>
        </is>
      </c>
      <c r="N232" s="10" t="inlineStr">
        <is>
          <t>non identifié publiquement</t>
        </is>
      </c>
      <c r="O232" s="10" t="inlineStr">
        <is>
          <t>non identifié publiquement</t>
        </is>
      </c>
      <c r="P232" s="10" t="inlineStr">
        <is>
          <t>ESTIME</t>
        </is>
      </c>
      <c r="Q232" s="11" t="inlineStr">
        <is>
          <t>Effectif attendu publie par l'agregateur specialise Agenda Tech pour cette edition</t>
        </is>
      </c>
      <c r="R232" s="10" t="inlineStr">
        <is>
          <t>non identifié publiquement</t>
        </is>
      </c>
      <c r="S232" s="10" t="inlineStr">
        <is>
          <t>non</t>
        </is>
      </c>
      <c r="T232" s="11" t="inlineStr"/>
      <c r="U232" s="10" t="inlineStr">
        <is>
          <t>non identifié publiquement</t>
        </is>
      </c>
      <c r="V232" s="10" t="inlineStr">
        <is>
          <t>https://www.agenda-tech.com/events/power-platform-french-summit-paris-2026</t>
        </is>
      </c>
      <c r="W232" s="10" t="inlineStr">
        <is>
          <t>2026-09-15</t>
        </is>
      </c>
      <c r="X232" s="11" t="inlineStr">
        <is>
          <t>Identifie via l'agregateur specialise Agenda Tech (donnees structurees schema.org publiees par l'organisateur).</t>
        </is>
      </c>
      <c r="Y232" s="7" t="inlineStr">
        <is>
          <t>4</t>
        </is>
      </c>
      <c r="Z232" s="7" t="inlineStr">
        <is>
          <t>Tech / IT / Logiciels / Télécom</t>
        </is>
      </c>
      <c r="AA232" s="7" t="inlineStr">
        <is>
          <t>0</t>
        </is>
      </c>
      <c r="AB232" s="7" t="inlineStr"/>
      <c r="AC232" s="7" t="inlineStr"/>
      <c r="AD232" s="7" t="inlineStr"/>
      <c r="AE232" s="7" t="inlineStr">
        <is>
          <t>0</t>
        </is>
      </c>
      <c r="AF232" s="7" t="inlineStr">
        <is>
          <t>Générique / Multi-éditeurs / Sans dominante</t>
        </is>
      </c>
      <c r="AG232" s="7" t="inlineStr">
        <is>
          <t>déduit</t>
        </is>
      </c>
      <c r="AH232" s="12" t="inlineStr">
        <is>
          <t>Deduit du secteur (axe 1)</t>
        </is>
      </c>
      <c r="AI232" s="7" t="inlineStr">
        <is>
          <t>5</t>
        </is>
      </c>
      <c r="AJ232" s="7" t="inlineStr">
        <is>
          <t>401-2000</t>
        </is>
      </c>
      <c r="AK232" s="8" t="inlineStr">
        <is>
          <t>estimé</t>
        </is>
      </c>
      <c r="AL232" s="7" t="inlineStr">
        <is>
          <t>environ 450 participants</t>
        </is>
      </c>
      <c r="AM232" s="11" t="inlineStr">
        <is>
          <t>Effectif attendu publie par Agenda Tech (agregateur specialise, chiffre de l'organisateur ou de l'agregateur)</t>
        </is>
      </c>
      <c r="AN232" s="7" t="inlineStr">
        <is>
          <t>moyenne</t>
        </is>
      </c>
      <c r="AO232" s="7" t="inlineStr">
        <is>
          <t>1|3</t>
        </is>
      </c>
      <c r="AP232" s="7" t="inlineStr">
        <is>
          <t>Décideurs PME/ETI + Opérationnels / Utilisateurs métier</t>
        </is>
      </c>
      <c r="AQ232" s="8" t="inlineStr">
        <is>
          <t>estimé</t>
        </is>
      </c>
      <c r="AR232" s="12" t="inlineStr">
        <is>
          <t>Convention client d'editeur : decideurs IT et utilisateurs metier</t>
        </is>
      </c>
      <c r="AS232" s="7" t="inlineStr">
        <is>
          <t>2</t>
        </is>
      </c>
      <c r="AT232" s="7" t="inlineStr">
        <is>
          <t>Moyen</t>
        </is>
      </c>
      <c r="AU232" s="8" t="inlineStr">
        <is>
          <t>estimé</t>
        </is>
      </c>
      <c r="AV232" s="12" t="inlineStr">
        <is>
          <t>Billetterie en vente libre (mention 'Voir tarifs sur le site' chez Agenda Tech), sans gratuite confirmee</t>
        </is>
      </c>
      <c r="AW232" s="7" t="inlineStr">
        <is>
          <t>S:4 L:0 N:5 P:1|3 A:2</t>
        </is>
      </c>
    </row>
    <row r="233">
      <c r="A233" s="10" t="inlineStr">
        <is>
          <t>SIMI 2026</t>
        </is>
      </c>
      <c r="B233" s="10" t="inlineStr">
        <is>
          <t>Groupe Le Moniteur / Infopro Digital</t>
        </is>
      </c>
      <c r="C233" s="10" t="inlineStr">
        <is>
          <t>2026-12-08</t>
        </is>
      </c>
      <c r="D233" s="10" t="inlineStr">
        <is>
          <t>2026-12-10</t>
        </is>
      </c>
      <c r="E233" s="10" t="inlineStr"/>
      <c r="F233" s="10" t="inlineStr">
        <is>
          <t>annuel</t>
        </is>
      </c>
      <c r="G233" s="10" t="inlineStr">
        <is>
          <t>Paris Expo Porte de Versailles - Pavillon 1</t>
        </is>
      </c>
      <c r="H233" s="10" t="inlineStr">
        <is>
          <t>Paris 15e</t>
        </is>
      </c>
      <c r="I233" s="10" t="inlineStr">
        <is>
          <t>75</t>
        </is>
      </c>
      <c r="J233" s="10" t="inlineStr">
        <is>
          <t>présentiel</t>
        </is>
      </c>
      <c r="K233" s="11" t="inlineStr">
        <is>
          <t>Salon des acteurs de l'industrie immobiliere : utilisateurs, proprietaires, investisseurs, promoteurs, conseils, collectivites.</t>
        </is>
      </c>
      <c r="L233" s="11" t="inlineStr">
        <is>
          <t>utilisateurs, proprietaires, investisseurs, promoteurs, conseils, collectivites et acteurs de la transition environnementale du batiment</t>
        </is>
      </c>
      <c r="M233" s="10" t="inlineStr">
        <is>
          <t>Immobilier</t>
        </is>
      </c>
      <c r="N233" s="10" t="inlineStr">
        <is>
          <t>non identifié publiquement</t>
        </is>
      </c>
      <c r="O233" s="10" t="inlineStr">
        <is>
          <t>26 052 visiteurs, 470 exposants, 115 prises de parole (edition 2025)</t>
        </is>
      </c>
      <c r="P233" s="10" t="inlineStr">
        <is>
          <t>CONFIRME</t>
        </is>
      </c>
      <c r="Q233" s="11" t="inlineStr">
        <is>
          <t>Chiffres de l'edition 2025 publies par l'organisateur sur salonsimi.com</t>
        </is>
      </c>
      <c r="R233" s="10" t="inlineStr">
        <is>
          <t>inscription libre</t>
        </is>
      </c>
      <c r="S233" s="10" t="inlineStr">
        <is>
          <t>oui</t>
        </is>
      </c>
      <c r="T233" s="11" t="inlineStr">
        <is>
          <t>Inscription visiteur qualifiee, orientee professionnels de l'immobilier</t>
        </is>
      </c>
      <c r="U233" s="10" t="inlineStr">
        <is>
          <t>non identifié publiquement</t>
        </is>
      </c>
      <c r="V233" s="10" t="inlineStr">
        <is>
          <t>https://www.salonsimi.com/</t>
        </is>
      </c>
      <c r="W233" s="10" t="inlineStr">
        <is>
          <t>2026-09-15</t>
        </is>
      </c>
      <c r="X233" s="11" t="inlineStr">
        <is>
          <t>Plus gros rendez-vous francais de l'immobilier d'entreprise. Forte concentration de directions generales et financieres de PME/ETI.</t>
        </is>
      </c>
      <c r="Y233" s="7" t="inlineStr">
        <is>
          <t>2</t>
        </is>
      </c>
      <c r="Z233" s="7" t="inlineStr">
        <is>
          <t>Immobilier / Construction / BTP</t>
        </is>
      </c>
      <c r="AA233" s="7" t="inlineStr"/>
      <c r="AB233" s="7" t="inlineStr">
        <is>
          <t>6</t>
        </is>
      </c>
      <c r="AC233" s="7" t="inlineStr">
        <is>
          <t>3|6</t>
        </is>
      </c>
      <c r="AD233" s="7" t="inlineStr">
        <is>
          <t>2</t>
        </is>
      </c>
      <c r="AE233" s="7" t="inlineStr">
        <is>
          <t>0</t>
        </is>
      </c>
      <c r="AF233" s="7" t="inlineStr">
        <is>
          <t>Générique / Multi-éditeurs / Sans dominante</t>
        </is>
      </c>
      <c r="AG233" s="8" t="inlineStr">
        <is>
          <t>estimé</t>
        </is>
      </c>
      <c r="AH233" s="12" t="inlineStr">
        <is>
          <t>Aucune dimension logicielle dans le positionnement de l'organisateur : rattache au 0 (sans dominante) plutot que laisse vide, conformement a la demande de non-vide</t>
        </is>
      </c>
      <c r="AI233" s="7" t="inlineStr">
        <is>
          <t>6</t>
        </is>
      </c>
      <c r="AJ233" s="7" t="inlineStr">
        <is>
          <t>&gt;2000</t>
        </is>
      </c>
      <c r="AK233" s="7" t="inlineStr">
        <is>
          <t>constaté</t>
        </is>
      </c>
      <c r="AL233" s="7" t="inlineStr">
        <is>
          <t>26 052 visiteurs, 470 exposants, 115 prises de parole (edition 2025)</t>
        </is>
      </c>
      <c r="AM233" s="11" t="inlineStr">
        <is>
          <t>Chiffre publie par l'organisateur (colonne taille_source)</t>
        </is>
      </c>
      <c r="AN233" s="7" t="inlineStr">
        <is>
          <t>haute</t>
        </is>
      </c>
      <c r="AO233" s="7" t="inlineStr">
        <is>
          <t>3|6</t>
        </is>
      </c>
      <c r="AP233" s="7" t="inlineStr">
        <is>
          <t>Opérationnels / Utilisateurs métier + Investisseurs / Écosystème financement</t>
        </is>
      </c>
      <c r="AQ233" s="7" t="inlineStr">
        <is>
          <t>constaté</t>
        </is>
      </c>
      <c r="AR233" s="12" t="inlineStr"/>
      <c r="AS233" s="7" t="inlineStr">
        <is>
          <t>2</t>
        </is>
      </c>
      <c r="AT233" s="7" t="inlineStr">
        <is>
          <t>Moyen</t>
        </is>
      </c>
      <c r="AU233" s="7" t="inlineStr">
        <is>
          <t>constaté</t>
        </is>
      </c>
      <c r="AV233" s="12" t="inlineStr"/>
      <c r="AW233" s="7" t="inlineStr">
        <is>
          <t>S:2 L:0 N:6 P:3|6 A:2</t>
        </is>
      </c>
    </row>
    <row r="234">
      <c r="A234" s="10" t="inlineStr">
        <is>
          <t>Soiree tech du MEDEF - Mobilitech</t>
        </is>
      </c>
      <c r="B234" s="10" t="inlineStr">
        <is>
          <t>MEDEF</t>
        </is>
      </c>
      <c r="C234" s="10" t="inlineStr">
        <is>
          <t>2026-12-08</t>
        </is>
      </c>
      <c r="D234" s="10" t="inlineStr"/>
      <c r="E234" s="10" t="inlineStr"/>
      <c r="F234" s="10" t="inlineStr">
        <is>
          <t>non identifié publiquement</t>
        </is>
      </c>
      <c r="G234" s="10" t="inlineStr">
        <is>
          <t>non identifié publiquement</t>
        </is>
      </c>
      <c r="H234" s="10" t="inlineStr">
        <is>
          <t>Neuilly-sur-Seine</t>
        </is>
      </c>
      <c r="I234" s="10" t="inlineStr">
        <is>
          <t>92</t>
        </is>
      </c>
      <c r="J234" s="10" t="inlineStr">
        <is>
          <t>présentiel</t>
        </is>
      </c>
      <c r="K234" s="11" t="inlineStr">
        <is>
          <t>Soiree thematique du MEDEF consacree aux technologies de la mobilite.</t>
        </is>
      </c>
      <c r="L234" s="11" t="inlineStr">
        <is>
          <t>non identifié publiquement</t>
        </is>
      </c>
      <c r="M234" s="10" t="inlineStr">
        <is>
          <t>Mobilite, transport, innovation</t>
        </is>
      </c>
      <c r="N234" s="10" t="inlineStr">
        <is>
          <t>non identifié publiquement</t>
        </is>
      </c>
      <c r="O234" s="10" t="inlineStr">
        <is>
          <t>non identifié publiquement</t>
        </is>
      </c>
      <c r="P234" s="10" t="inlineStr"/>
      <c r="Q234" s="11" t="inlineStr"/>
      <c r="R234" s="10" t="inlineStr">
        <is>
          <t>inscription libre</t>
        </is>
      </c>
      <c r="S234" s="10" t="inlineStr">
        <is>
          <t>non</t>
        </is>
      </c>
      <c r="T234" s="11" t="inlineStr"/>
      <c r="U234" s="10" t="inlineStr">
        <is>
          <t>non identifié publiquement</t>
        </is>
      </c>
      <c r="V234" s="10" t="inlineStr">
        <is>
          <t>https://lafrenchtech.gouv.fr/fr/evenements/soiree-tech-du-medef-mobilitech/</t>
        </is>
      </c>
      <c r="W234" s="10" t="inlineStr">
        <is>
          <t>2026-09-15</t>
        </is>
      </c>
      <c r="X234" s="11" t="inlineStr">
        <is>
          <t>Identifie via l'agregateur d'evenements de la Mission French Tech. Adresse precise non publiee.</t>
        </is>
      </c>
      <c r="Y234" s="7" t="inlineStr">
        <is>
          <t>4|10</t>
        </is>
      </c>
      <c r="Z234" s="7" t="inlineStr">
        <is>
          <t>Tech / IT / Logiciels / Télécom + Transport / Logistique / Supply Chain</t>
        </is>
      </c>
      <c r="AA234" s="7" t="inlineStr">
        <is>
          <t>0</t>
        </is>
      </c>
      <c r="AB234" s="7" t="inlineStr"/>
      <c r="AC234" s="7" t="inlineStr"/>
      <c r="AD234" s="7" t="inlineStr">
        <is>
          <t>2</t>
        </is>
      </c>
      <c r="AE234" s="7" t="inlineStr">
        <is>
          <t>0</t>
        </is>
      </c>
      <c r="AF234" s="7" t="inlineStr">
        <is>
          <t>Générique / Multi-éditeurs / Sans dominante</t>
        </is>
      </c>
      <c r="AG234" s="7" t="inlineStr">
        <is>
          <t>déduit</t>
        </is>
      </c>
      <c r="AH234" s="12" t="inlineStr">
        <is>
          <t>Deduit du secteur (axe 1)</t>
        </is>
      </c>
      <c r="AI234" s="7" t="inlineStr">
        <is>
          <t>3</t>
        </is>
      </c>
      <c r="AJ234" s="7" t="inlineStr">
        <is>
          <t>41-120</t>
        </is>
      </c>
      <c r="AK234" s="8" t="inlineStr">
        <is>
          <t>estimé</t>
        </is>
      </c>
      <c r="AL234" s="7" t="inlineStr">
        <is>
          <t>estimation : 25 a 80 participants</t>
        </is>
      </c>
      <c r="AM234" s="11" t="inlineStr">
        <is>
          <t>Modele de format (rendez-vous d'organisation patronale), fourchette 25-80</t>
        </is>
      </c>
      <c r="AN234" s="7" t="inlineStr">
        <is>
          <t>moyenne</t>
        </is>
      </c>
      <c r="AO234" s="7" t="inlineStr">
        <is>
          <t>5|6</t>
        </is>
      </c>
      <c r="AP234" s="7" t="inlineStr">
        <is>
          <t>Pairs / Concurrents / Acteurs de l'offre + Investisseurs / Écosystème financement</t>
        </is>
      </c>
      <c r="AQ234" s="8" t="inlineStr">
        <is>
          <t>estimé</t>
        </is>
      </c>
      <c r="AR234" s="12" t="inlineStr">
        <is>
          <t>Evenement d'ecosysteme startup : acteurs de l'offre et investisseurs</t>
        </is>
      </c>
      <c r="AS234" s="7" t="inlineStr">
        <is>
          <t>2</t>
        </is>
      </c>
      <c r="AT234" s="7" t="inlineStr">
        <is>
          <t>Moyen</t>
        </is>
      </c>
      <c r="AU234" s="7" t="inlineStr">
        <is>
          <t>constaté</t>
        </is>
      </c>
      <c r="AV234" s="12" t="inlineStr"/>
      <c r="AW234" s="7" t="inlineStr">
        <is>
          <t>S:4|10 L:0 N:3 P:5|6 A:2</t>
        </is>
      </c>
    </row>
    <row r="235">
      <c r="A235" s="10" t="inlineStr">
        <is>
          <t>DevOps REX 2026</t>
        </is>
      </c>
      <c r="B235" s="10" t="inlineStr">
        <is>
          <t>Infopro Digital Trade Show</t>
        </is>
      </c>
      <c r="C235" s="10" t="inlineStr">
        <is>
          <t>2026-12-09</t>
        </is>
      </c>
      <c r="D235" s="10" t="inlineStr">
        <is>
          <t>2026-12-10</t>
        </is>
      </c>
      <c r="E235" s="10" t="inlineStr"/>
      <c r="F235" s="10" t="inlineStr">
        <is>
          <t>non identifié publiquement</t>
        </is>
      </c>
      <c r="G235" s="10" t="inlineStr">
        <is>
          <t>Porte de Versailles, Hall 5.2</t>
        </is>
      </c>
      <c r="H235" s="10" t="inlineStr">
        <is>
          <t>Paris (arrondissement selon le lieu)</t>
        </is>
      </c>
      <c r="I235" s="10" t="inlineStr">
        <is>
          <t>75</t>
        </is>
      </c>
      <c r="J235" s="10" t="inlineStr">
        <is>
          <t>présentiel</t>
        </is>
      </c>
      <c r="K235" s="11" t="inlineStr">
        <is>
          <t>DevOps REX 2026 à Paris les 9-10 décembre. Conférence B2B avec 600 participants, retours d'expérience et 30 exposants.</t>
        </is>
      </c>
      <c r="L235" s="11" t="inlineStr">
        <is>
          <t>non identifié publiquement</t>
        </is>
      </c>
      <c r="M235" s="10" t="inlineStr">
        <is>
          <t>Numerique, informatique, technologies</t>
        </is>
      </c>
      <c r="N235" s="10" t="inlineStr">
        <is>
          <t>non identifié publiquement</t>
        </is>
      </c>
      <c r="O235" s="10" t="inlineStr">
        <is>
          <t>non identifié publiquement</t>
        </is>
      </c>
      <c r="P235" s="10" t="inlineStr">
        <is>
          <t>ESTIME</t>
        </is>
      </c>
      <c r="Q235" s="11" t="inlineStr">
        <is>
          <t>Effectif attendu publie par l'agregateur specialise Agenda Tech pour cette edition</t>
        </is>
      </c>
      <c r="R235" s="10" t="inlineStr">
        <is>
          <t>non identifié publiquement</t>
        </is>
      </c>
      <c r="S235" s="10" t="inlineStr">
        <is>
          <t>non</t>
        </is>
      </c>
      <c r="T235" s="11" t="inlineStr"/>
      <c r="U235" s="10" t="inlineStr">
        <is>
          <t>non identifié publiquement</t>
        </is>
      </c>
      <c r="V235" s="10" t="inlineStr">
        <is>
          <t>https://www.agenda-tech.com/events/devops-rex-2026</t>
        </is>
      </c>
      <c r="W235" s="10" t="inlineStr">
        <is>
          <t>2026-09-15</t>
        </is>
      </c>
      <c r="X235" s="11" t="inlineStr">
        <is>
          <t>Identifie via l'agregateur specialise Agenda Tech (donnees structurees schema.org publiees par l'organisateur).</t>
        </is>
      </c>
      <c r="Y235" s="7" t="inlineStr">
        <is>
          <t>4</t>
        </is>
      </c>
      <c r="Z235" s="7" t="inlineStr">
        <is>
          <t>Tech / IT / Logiciels / Télécom</t>
        </is>
      </c>
      <c r="AA235" s="7" t="inlineStr">
        <is>
          <t>0</t>
        </is>
      </c>
      <c r="AB235" s="7" t="inlineStr"/>
      <c r="AC235" s="7" t="inlineStr">
        <is>
          <t>5</t>
        </is>
      </c>
      <c r="AD235" s="7" t="inlineStr"/>
      <c r="AE235" s="7" t="inlineStr">
        <is>
          <t>0</t>
        </is>
      </c>
      <c r="AF235" s="7" t="inlineStr">
        <is>
          <t>Générique / Multi-éditeurs / Sans dominante</t>
        </is>
      </c>
      <c r="AG235" s="7" t="inlineStr">
        <is>
          <t>déduit</t>
        </is>
      </c>
      <c r="AH235" s="12" t="inlineStr">
        <is>
          <t>Deduit du secteur (axe 1)</t>
        </is>
      </c>
      <c r="AI235" s="7" t="inlineStr">
        <is>
          <t>5</t>
        </is>
      </c>
      <c r="AJ235" s="7" t="inlineStr">
        <is>
          <t>401-2000</t>
        </is>
      </c>
      <c r="AK235" s="8" t="inlineStr">
        <is>
          <t>estimé</t>
        </is>
      </c>
      <c r="AL235" s="7" t="inlineStr">
        <is>
          <t>environ 600 participants</t>
        </is>
      </c>
      <c r="AM235" s="11" t="inlineStr">
        <is>
          <t>Effectif attendu publie par Agenda Tech (agregateur specialise, chiffre de l'organisateur ou de l'agregateur)</t>
        </is>
      </c>
      <c r="AN235" s="7" t="inlineStr">
        <is>
          <t>moyenne</t>
        </is>
      </c>
      <c r="AO235" s="7" t="inlineStr">
        <is>
          <t>5</t>
        </is>
      </c>
      <c r="AP235" s="7" t="inlineStr">
        <is>
          <t>Pairs / Concurrents / Acteurs de l'offre</t>
        </is>
      </c>
      <c r="AQ235" s="7" t="inlineStr">
        <is>
          <t>constaté</t>
        </is>
      </c>
      <c r="AR235" s="12" t="inlineStr"/>
      <c r="AS235" s="7" t="inlineStr">
        <is>
          <t>2</t>
        </is>
      </c>
      <c r="AT235" s="7" t="inlineStr">
        <is>
          <t>Moyen</t>
        </is>
      </c>
      <c r="AU235" s="8" t="inlineStr">
        <is>
          <t>estimé</t>
        </is>
      </c>
      <c r="AV235" s="12" t="inlineStr">
        <is>
          <t>Tarif payant publie par Agenda Tech</t>
        </is>
      </c>
      <c r="AW235" s="7" t="inlineStr">
        <is>
          <t>S:4 L:0 N:5 P:5 A:2</t>
        </is>
      </c>
    </row>
    <row r="236">
      <c r="A236" s="10" t="inlineStr">
        <is>
          <t>Solicare 2026</t>
        </is>
      </c>
      <c r="B236" s="10" t="inlineStr">
        <is>
          <t>non identifié publiquement</t>
        </is>
      </c>
      <c r="C236" s="10" t="inlineStr">
        <is>
          <t>2026-12-09</t>
        </is>
      </c>
      <c r="D236" s="10" t="inlineStr">
        <is>
          <t>2026-12-10</t>
        </is>
      </c>
      <c r="E236" s="10" t="inlineStr"/>
      <c r="F236" s="10" t="inlineStr">
        <is>
          <t>annuel</t>
        </is>
      </c>
      <c r="G236" s="10" t="inlineStr">
        <is>
          <t>Palais des Congres de Paris (Porte Maillot)</t>
        </is>
      </c>
      <c r="H236" s="10" t="inlineStr">
        <is>
          <t>Paris 17e</t>
        </is>
      </c>
      <c r="I236" s="10" t="inlineStr">
        <is>
          <t>75</t>
        </is>
      </c>
      <c r="J236" s="10" t="inlineStr">
        <is>
          <t>présentiel</t>
        </is>
      </c>
      <c r="K236" s="11" t="inlineStr">
        <is>
          <t>Evenement du secteur du soin et de l'accompagnement.</t>
        </is>
      </c>
      <c r="L236" s="11" t="inlineStr">
        <is>
          <t>non identifié publiquement</t>
        </is>
      </c>
      <c r="M236" s="10" t="inlineStr">
        <is>
          <t>Sante, medico-social</t>
        </is>
      </c>
      <c r="N236" s="10" t="inlineStr">
        <is>
          <t>non identifié publiquement</t>
        </is>
      </c>
      <c r="O236" s="10" t="inlineStr">
        <is>
          <t>non identifié publiquement</t>
        </is>
      </c>
      <c r="P236" s="10" t="inlineStr"/>
      <c r="Q236" s="11" t="inlineStr"/>
      <c r="R236" s="10" t="inlineStr">
        <is>
          <t>non identifié publiquement</t>
        </is>
      </c>
      <c r="S236" s="10" t="inlineStr">
        <is>
          <t>non</t>
        </is>
      </c>
      <c r="T236" s="11" t="inlineStr"/>
      <c r="U236" s="10" t="inlineStr">
        <is>
          <t>non identifié publiquement</t>
        </is>
      </c>
      <c r="V236" s="10" t="inlineStr">
        <is>
          <t>https://www.viparis.com/actualites-evenements/evenements/solicare</t>
        </is>
      </c>
      <c r="W236" s="10" t="inlineStr">
        <is>
          <t>2026-09-15</t>
        </is>
      </c>
      <c r="X236" s="11" t="inlineStr">
        <is>
          <t>Identifie via l'agenda du lieu (Viparis). Organisateur, public et programme non identifies publiquement au 15/09/2026.</t>
        </is>
      </c>
      <c r="Y236" s="7" t="inlineStr">
        <is>
          <t>7</t>
        </is>
      </c>
      <c r="Z236" s="7" t="inlineStr">
        <is>
          <t>Santé / Pharma / Biotech / Medtech</t>
        </is>
      </c>
      <c r="AA236" s="7" t="inlineStr"/>
      <c r="AB236" s="7" t="inlineStr"/>
      <c r="AC236" s="7" t="inlineStr"/>
      <c r="AD236" s="7" t="inlineStr"/>
      <c r="AE236" s="7" t="inlineStr">
        <is>
          <t>0</t>
        </is>
      </c>
      <c r="AF236" s="7" t="inlineStr">
        <is>
          <t>Générique / Multi-éditeurs / Sans dominante</t>
        </is>
      </c>
      <c r="AG236" s="8" t="inlineStr">
        <is>
          <t>estimé</t>
        </is>
      </c>
      <c r="AH236" s="12" t="inlineStr">
        <is>
          <t>Aucune dimension logicielle dans le positionnement de l'organisateur : rattache au 0 (sans dominante) plutot que laisse vide, conformement a la demande de non-vide</t>
        </is>
      </c>
      <c r="AI236" s="7" t="inlineStr">
        <is>
          <t>4</t>
        </is>
      </c>
      <c r="AJ236" s="7" t="inlineStr">
        <is>
          <t>121-400</t>
        </is>
      </c>
      <c r="AK236" s="8" t="inlineStr">
        <is>
          <t>estimé</t>
        </is>
      </c>
      <c r="AL236" s="7" t="inlineStr">
        <is>
          <t>estimation : 100 a 500 participants</t>
        </is>
      </c>
      <c r="AM236" s="11" t="inlineStr">
        <is>
          <t>Modele de format (format non caracterise), fourchette 100-500, plafonnee par la capacite du lieu (Palais des Congres de Paris (Porte Maill ~ 10000)</t>
        </is>
      </c>
      <c r="AN236" s="7" t="inlineStr">
        <is>
          <t>faible</t>
        </is>
      </c>
      <c r="AO236" s="7" t="inlineStr">
        <is>
          <t>7</t>
        </is>
      </c>
      <c r="AP236" s="7" t="inlineStr">
        <is>
          <t>Experts / Advisors / Associations professionnelles</t>
        </is>
      </c>
      <c r="AQ236" s="8" t="inlineStr">
        <is>
          <t>estimé</t>
        </is>
      </c>
      <c r="AR236" s="12" t="inlineStr">
        <is>
          <t>Congres de societe savante ou d'association professionnelle du secteur sante</t>
        </is>
      </c>
      <c r="AS236" s="7" t="inlineStr">
        <is>
          <t>2</t>
        </is>
      </c>
      <c r="AT236" s="7" t="inlineStr">
        <is>
          <t>Moyen</t>
        </is>
      </c>
      <c r="AU236" s="8" t="inlineStr">
        <is>
          <t>estimé</t>
        </is>
      </c>
      <c r="AV236" s="12" t="inlineStr">
        <is>
          <t>Par defaut : aucun filtre par un tiers identifie, acces presume en vente libre (niveau 2 conservateur, cf. iteration n1)</t>
        </is>
      </c>
      <c r="AW236" s="7" t="inlineStr">
        <is>
          <t>S:7 L:0 N:4 P:7 A:2</t>
        </is>
      </c>
    </row>
    <row r="237">
      <c r="A237" s="10" t="inlineStr">
        <is>
          <t>SFA 2026 (Societe Francaise d'Arthroscopie)</t>
        </is>
      </c>
      <c r="B237" s="10" t="inlineStr">
        <is>
          <t>Societe Francaise d'Arthroscopie</t>
        </is>
      </c>
      <c r="C237" s="10" t="inlineStr">
        <is>
          <t>2026-12-10</t>
        </is>
      </c>
      <c r="D237" s="10" t="inlineStr">
        <is>
          <t>2026-12-12</t>
        </is>
      </c>
      <c r="E237" s="10" t="inlineStr"/>
      <c r="F237" s="10" t="inlineStr">
        <is>
          <t>annuel</t>
        </is>
      </c>
      <c r="G237" s="10" t="inlineStr">
        <is>
          <t>CNIT Forest - Paris La Defense</t>
        </is>
      </c>
      <c r="H237" s="10" t="inlineStr">
        <is>
          <t>Puteaux</t>
        </is>
      </c>
      <c r="I237" s="10" t="inlineStr">
        <is>
          <t>92</t>
        </is>
      </c>
      <c r="J237" s="10" t="inlineStr">
        <is>
          <t>présentiel</t>
        </is>
      </c>
      <c r="K237" s="11" t="inlineStr">
        <is>
          <t>Congres annuel de la societe savante d'arthroscopie.</t>
        </is>
      </c>
      <c r="L237" s="11" t="inlineStr">
        <is>
          <t>non identifié publiquement</t>
        </is>
      </c>
      <c r="M237" s="10" t="inlineStr">
        <is>
          <t>Sante, chirurgie orthopedique</t>
        </is>
      </c>
      <c r="N237" s="10" t="inlineStr">
        <is>
          <t>non identifié publiquement</t>
        </is>
      </c>
      <c r="O237" s="10" t="inlineStr">
        <is>
          <t>non identifié publiquement</t>
        </is>
      </c>
      <c r="P237" s="10" t="inlineStr"/>
      <c r="Q237" s="11" t="inlineStr"/>
      <c r="R237" s="10" t="inlineStr">
        <is>
          <t>billet payant</t>
        </is>
      </c>
      <c r="S237" s="10" t="inlineStr">
        <is>
          <t>oui</t>
        </is>
      </c>
      <c r="T237" s="11" t="inlineStr">
        <is>
          <t>Congres reserve aux professionnels de sante</t>
        </is>
      </c>
      <c r="U237" s="10" t="inlineStr">
        <is>
          <t>non identifié publiquement</t>
        </is>
      </c>
      <c r="V237" s="10" t="inlineStr">
        <is>
          <t>https://www.viparis.com/actualites-evenements/evenements/sfa-2026</t>
        </is>
      </c>
      <c r="W237" s="10" t="inlineStr">
        <is>
          <t>2026-09-15</t>
        </is>
      </c>
      <c r="X237" s="11" t="inlineStr">
        <is>
          <t>Identifie via l'agenda du lieu (Viparis). Developpement du sigle SFA a confirmer.</t>
        </is>
      </c>
      <c r="Y237" s="7" t="inlineStr">
        <is>
          <t>7</t>
        </is>
      </c>
      <c r="Z237" s="7" t="inlineStr">
        <is>
          <t>Santé / Pharma / Biotech / Medtech</t>
        </is>
      </c>
      <c r="AA237" s="7" t="inlineStr"/>
      <c r="AB237" s="7" t="inlineStr"/>
      <c r="AC237" s="7" t="inlineStr">
        <is>
          <t>7</t>
        </is>
      </c>
      <c r="AD237" s="7" t="inlineStr">
        <is>
          <t>2</t>
        </is>
      </c>
      <c r="AE237" s="7" t="inlineStr">
        <is>
          <t>0</t>
        </is>
      </c>
      <c r="AF237" s="7" t="inlineStr">
        <is>
          <t>Générique / Multi-éditeurs / Sans dominante</t>
        </is>
      </c>
      <c r="AG237" s="8" t="inlineStr">
        <is>
          <t>estimé</t>
        </is>
      </c>
      <c r="AH237" s="12" t="inlineStr">
        <is>
          <t>Aucune dimension logicielle dans le positionnement de l'organisateur : rattache au 0 (sans dominante) plutot que laisse vide, conformement a la demande de non-vide</t>
        </is>
      </c>
      <c r="AI237" s="7" t="inlineStr">
        <is>
          <t>5</t>
        </is>
      </c>
      <c r="AJ237" s="7" t="inlineStr">
        <is>
          <t>401-2000</t>
        </is>
      </c>
      <c r="AK237" s="8" t="inlineStr">
        <is>
          <t>estimé</t>
        </is>
      </c>
      <c r="AL237" s="7" t="inlineStr">
        <is>
          <t>estimation : 1000 a 2500 participants</t>
        </is>
      </c>
      <c r="AM237" s="11" t="inlineStr">
        <is>
          <t>Modele de format (congres de societe savante), fourchette 1000-2500, plafonnee par la capacite du lieu (CNIT Forest - Paris La Defense ~ 2500)</t>
        </is>
      </c>
      <c r="AN237" s="7" t="inlineStr">
        <is>
          <t>moyenne</t>
        </is>
      </c>
      <c r="AO237" s="7" t="inlineStr">
        <is>
          <t>7</t>
        </is>
      </c>
      <c r="AP237" s="7" t="inlineStr">
        <is>
          <t>Experts / Advisors / Associations professionnelles</t>
        </is>
      </c>
      <c r="AQ237" s="7" t="inlineStr">
        <is>
          <t>constaté</t>
        </is>
      </c>
      <c r="AR237" s="12" t="inlineStr"/>
      <c r="AS237" s="7" t="inlineStr">
        <is>
          <t>2</t>
        </is>
      </c>
      <c r="AT237" s="7" t="inlineStr">
        <is>
          <t>Moyen</t>
        </is>
      </c>
      <c r="AU237" s="7" t="inlineStr">
        <is>
          <t>constaté</t>
        </is>
      </c>
      <c r="AV237" s="12" t="inlineStr"/>
      <c r="AW237" s="7" t="inlineStr">
        <is>
          <t>S:7 L:0 N:5 P:7 A:2</t>
        </is>
      </c>
    </row>
    <row r="238">
      <c r="A238" s="10" t="inlineStr">
        <is>
          <t>Congres Francais de Rhumatologie 2026</t>
        </is>
      </c>
      <c r="B238" s="10" t="inlineStr">
        <is>
          <t>Societe Francaise de Rhumatologie (SFR)</t>
        </is>
      </c>
      <c r="C238" s="10" t="inlineStr">
        <is>
          <t>2026-12-13</t>
        </is>
      </c>
      <c r="D238" s="10" t="inlineStr">
        <is>
          <t>2026-12-15</t>
        </is>
      </c>
      <c r="E238" s="10" t="inlineStr"/>
      <c r="F238" s="10" t="inlineStr">
        <is>
          <t>annuel</t>
        </is>
      </c>
      <c r="G238" s="10" t="inlineStr">
        <is>
          <t>Paris Convention Centre (Paris Expo Porte de Versailles)</t>
        </is>
      </c>
      <c r="H238" s="10" t="inlineStr">
        <is>
          <t>Paris 15e</t>
        </is>
      </c>
      <c r="I238" s="10" t="inlineStr">
        <is>
          <t>75</t>
        </is>
      </c>
      <c r="J238" s="10" t="inlineStr">
        <is>
          <t>présentiel</t>
        </is>
      </c>
      <c r="K238" s="11" t="inlineStr">
        <is>
          <t>Congres annuel de la rhumatologie francaise.</t>
        </is>
      </c>
      <c r="L238" s="11" t="inlineStr">
        <is>
          <t>non identifié publiquement</t>
        </is>
      </c>
      <c r="M238" s="10" t="inlineStr">
        <is>
          <t>Sante, rhumatologie</t>
        </is>
      </c>
      <c r="N238" s="10" t="inlineStr">
        <is>
          <t>non identifié publiquement</t>
        </is>
      </c>
      <c r="O238" s="10" t="inlineStr">
        <is>
          <t>non identifié publiquement</t>
        </is>
      </c>
      <c r="P238" s="10" t="inlineStr">
        <is>
          <t>CONFIRME</t>
        </is>
      </c>
      <c r="Q238" s="11" t="inlineStr">
        <is>
          <t>Chiffre annonce par la Societe Francaise de Rhumatologie pour son congres annuel (39e edition)</t>
        </is>
      </c>
      <c r="R238" s="10" t="inlineStr">
        <is>
          <t>billet payant</t>
        </is>
      </c>
      <c r="S238" s="10" t="inlineStr">
        <is>
          <t>oui</t>
        </is>
      </c>
      <c r="T238" s="11" t="inlineStr">
        <is>
          <t>Congres reserve aux professionnels de sante</t>
        </is>
      </c>
      <c r="U238" s="10" t="inlineStr">
        <is>
          <t>non identifié publiquement</t>
        </is>
      </c>
      <c r="V238" s="10" t="inlineStr">
        <is>
          <t>https://www.viparis.com/actualites-evenements/evenements/le-congres-francais-de-rhumatologie</t>
        </is>
      </c>
      <c r="W238" s="10" t="inlineStr">
        <is>
          <t>2026-09-15</t>
        </is>
      </c>
      <c r="X238" s="11" t="inlineStr">
        <is>
          <t>Identifie via l'agenda du lieu (Viparis).</t>
        </is>
      </c>
      <c r="Y238" s="7" t="inlineStr">
        <is>
          <t>7</t>
        </is>
      </c>
      <c r="Z238" s="7" t="inlineStr">
        <is>
          <t>Santé / Pharma / Biotech / Medtech</t>
        </is>
      </c>
      <c r="AA238" s="7" t="inlineStr"/>
      <c r="AB238" s="7" t="inlineStr"/>
      <c r="AC238" s="7" t="inlineStr">
        <is>
          <t>7</t>
        </is>
      </c>
      <c r="AD238" s="7" t="inlineStr">
        <is>
          <t>2</t>
        </is>
      </c>
      <c r="AE238" s="7" t="inlineStr">
        <is>
          <t>0</t>
        </is>
      </c>
      <c r="AF238" s="7" t="inlineStr">
        <is>
          <t>Générique / Multi-éditeurs / Sans dominante</t>
        </is>
      </c>
      <c r="AG238" s="8" t="inlineStr">
        <is>
          <t>estimé</t>
        </is>
      </c>
      <c r="AH238" s="12" t="inlineStr">
        <is>
          <t>Aucune dimension logicielle dans le positionnement de l'organisateur : rattache au 0 (sans dominante) plutot que laisse vide, conformement a la demande de non-vide</t>
        </is>
      </c>
      <c r="AI238" s="7" t="inlineStr">
        <is>
          <t>6</t>
        </is>
      </c>
      <c r="AJ238" s="7" t="inlineStr">
        <is>
          <t>&gt;2000</t>
        </is>
      </c>
      <c r="AK238" s="7" t="inlineStr">
        <is>
          <t>constaté</t>
        </is>
      </c>
      <c r="AL238" s="7" t="inlineStr">
        <is>
          <t>plus de 3 000 participants</t>
        </is>
      </c>
      <c r="AM238" s="11" t="inlineStr">
        <is>
          <t>Chiffre annonce par la Societe Francaise de Rhumatologie pour son congres annuel (39e edition)</t>
        </is>
      </c>
      <c r="AN238" s="7" t="inlineStr">
        <is>
          <t>haute</t>
        </is>
      </c>
      <c r="AO238" s="7" t="inlineStr">
        <is>
          <t>7</t>
        </is>
      </c>
      <c r="AP238" s="7" t="inlineStr">
        <is>
          <t>Experts / Advisors / Associations professionnelles</t>
        </is>
      </c>
      <c r="AQ238" s="7" t="inlineStr">
        <is>
          <t>constaté</t>
        </is>
      </c>
      <c r="AR238" s="12" t="inlineStr"/>
      <c r="AS238" s="7" t="inlineStr">
        <is>
          <t>2</t>
        </is>
      </c>
      <c r="AT238" s="7" t="inlineStr">
        <is>
          <t>Moyen</t>
        </is>
      </c>
      <c r="AU238" s="7" t="inlineStr">
        <is>
          <t>constaté</t>
        </is>
      </c>
      <c r="AV238" s="12" t="inlineStr"/>
      <c r="AW238" s="7" t="inlineStr">
        <is>
          <t>S:7 L:0 N:6 P:7 A:2</t>
        </is>
      </c>
    </row>
    <row r="239">
      <c r="A239" s="10" t="inlineStr">
        <is>
          <t>46e RICAI - Reunion Interdisciplinaire de Chimiotherapie Anti-Infectieuse</t>
        </is>
      </c>
      <c r="B239" s="10" t="inlineStr">
        <is>
          <t>non identifié publiquement</t>
        </is>
      </c>
      <c r="C239" s="10" t="inlineStr">
        <is>
          <t>2026-12-14</t>
        </is>
      </c>
      <c r="D239" s="10" t="inlineStr">
        <is>
          <t>2026-12-15</t>
        </is>
      </c>
      <c r="E239" s="10" t="inlineStr"/>
      <c r="F239" s="10" t="inlineStr">
        <is>
          <t>annuel</t>
        </is>
      </c>
      <c r="G239" s="10" t="inlineStr">
        <is>
          <t>Palais des Congres de Paris (Porte Maillot)</t>
        </is>
      </c>
      <c r="H239" s="10" t="inlineStr">
        <is>
          <t>Paris 17e</t>
        </is>
      </c>
      <c r="I239" s="10" t="inlineStr">
        <is>
          <t>75</t>
        </is>
      </c>
      <c r="J239" s="10" t="inlineStr">
        <is>
          <t>présentiel</t>
        </is>
      </c>
      <c r="K239" s="11" t="inlineStr">
        <is>
          <t>Reunion interdisciplinaire de chimiotherapie anti-infectieuse.</t>
        </is>
      </c>
      <c r="L239" s="11" t="inlineStr">
        <is>
          <t>non identifié publiquement</t>
        </is>
      </c>
      <c r="M239" s="10" t="inlineStr">
        <is>
          <t>Sante, infectiologie</t>
        </is>
      </c>
      <c r="N239" s="10" t="inlineStr">
        <is>
          <t>non identifié publiquement</t>
        </is>
      </c>
      <c r="O239" s="10" t="inlineStr">
        <is>
          <t>non identifié publiquement</t>
        </is>
      </c>
      <c r="P239" s="10" t="inlineStr">
        <is>
          <t>CONFIRME</t>
        </is>
      </c>
      <c r="Q239" s="11" t="inlineStr">
        <is>
          <t>Bilans d'editions publies par l'organisateur (ricai.fr) et relayes par l'UMR RESINFIT</t>
        </is>
      </c>
      <c r="R239" s="10" t="inlineStr">
        <is>
          <t>billet payant</t>
        </is>
      </c>
      <c r="S239" s="10" t="inlineStr">
        <is>
          <t>oui</t>
        </is>
      </c>
      <c r="T239" s="11" t="inlineStr">
        <is>
          <t>Congres reserve aux professionnels de sante</t>
        </is>
      </c>
      <c r="U239" s="10" t="inlineStr">
        <is>
          <t>non identifié publiquement</t>
        </is>
      </c>
      <c r="V239" s="10" t="inlineStr">
        <is>
          <t>https://www.viparis.com/actualites-evenements/evenements/46eme-edition-de-la-ricai-reunion-interdisciplinaire-de-chimiotherapie-anti-infectieuse</t>
        </is>
      </c>
      <c r="W239" s="10" t="inlineStr">
        <is>
          <t>2026-09-15</t>
        </is>
      </c>
      <c r="X239" s="11" t="inlineStr">
        <is>
          <t>Identifie via l'agenda du lieu (Viparis).</t>
        </is>
      </c>
      <c r="Y239" s="7" t="inlineStr">
        <is>
          <t>7</t>
        </is>
      </c>
      <c r="Z239" s="7" t="inlineStr">
        <is>
          <t>Santé / Pharma / Biotech / Medtech</t>
        </is>
      </c>
      <c r="AA239" s="7" t="inlineStr"/>
      <c r="AB239" s="7" t="inlineStr"/>
      <c r="AC239" s="7" t="inlineStr"/>
      <c r="AD239" s="7" t="inlineStr">
        <is>
          <t>2</t>
        </is>
      </c>
      <c r="AE239" s="7" t="inlineStr">
        <is>
          <t>0</t>
        </is>
      </c>
      <c r="AF239" s="7" t="inlineStr">
        <is>
          <t>Générique / Multi-éditeurs / Sans dominante</t>
        </is>
      </c>
      <c r="AG239" s="8" t="inlineStr">
        <is>
          <t>estimé</t>
        </is>
      </c>
      <c r="AH239" s="12" t="inlineStr">
        <is>
          <t>Aucune dimension logicielle dans le positionnement de l'organisateur : rattache au 0 (sans dominante) plutot que laisse vide, conformement a la demande de non-vide</t>
        </is>
      </c>
      <c r="AI239" s="7" t="inlineStr">
        <is>
          <t>5</t>
        </is>
      </c>
      <c r="AJ239" s="7" t="inlineStr">
        <is>
          <t>401-2000</t>
        </is>
      </c>
      <c r="AK239" s="7" t="inlineStr">
        <is>
          <t>constaté</t>
        </is>
      </c>
      <c r="AL239" s="7" t="inlineStr">
        <is>
          <t>pres de 2 000 inscrits a l'edition 2023 ; 1 865 participants en 2022</t>
        </is>
      </c>
      <c r="AM239" s="11" t="inlineStr">
        <is>
          <t>Bilans d'editions publies par l'organisateur (ricai.fr) et relayes par l'UMR RESINFIT</t>
        </is>
      </c>
      <c r="AN239" s="7" t="inlineStr">
        <is>
          <t>haute</t>
        </is>
      </c>
      <c r="AO239" s="7" t="inlineStr">
        <is>
          <t>7</t>
        </is>
      </c>
      <c r="AP239" s="7" t="inlineStr">
        <is>
          <t>Experts / Advisors / Associations professionnelles</t>
        </is>
      </c>
      <c r="AQ239" s="8" t="inlineStr">
        <is>
          <t>estimé</t>
        </is>
      </c>
      <c r="AR239" s="12" t="inlineStr">
        <is>
          <t>Congres de societe savante ou d'association professionnelle du secteur sante</t>
        </is>
      </c>
      <c r="AS239" s="7" t="inlineStr">
        <is>
          <t>2</t>
        </is>
      </c>
      <c r="AT239" s="7" t="inlineStr">
        <is>
          <t>Moyen</t>
        </is>
      </c>
      <c r="AU239" s="7" t="inlineStr">
        <is>
          <t>constaté</t>
        </is>
      </c>
      <c r="AV239" s="12" t="inlineStr"/>
      <c r="AW239" s="7" t="inlineStr">
        <is>
          <t>S:7 L:0 N:5 P:7 A:2</t>
        </is>
      </c>
    </row>
  </sheetData>
  <autoFilter ref="A1:AW2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6" customWidth="1" min="1" max="1"/>
    <col width="48" customWidth="1" min="2" max="2"/>
    <col width="12" customWidth="1" min="3" max="3"/>
    <col width="6" customWidth="1" min="4" max="4"/>
    <col width="40" customWidth="1" min="5" max="5"/>
    <col width="12" customWidth="1" min="6" max="6"/>
  </cols>
  <sheetData>
    <row r="1">
      <c r="A1" s="13" t="inlineStr">
        <is>
          <t>Synthèse — comptages calculés en direct sur l'onglet Événements</t>
        </is>
      </c>
    </row>
    <row r="2">
      <c r="A2" s="14" t="inlineStr">
        <is>
          <t>Toutes les cellules de comptage sont des formules : elles se recalculent si tu filtres, corriges ou ajoutes des lignes.</t>
        </is>
      </c>
    </row>
    <row r="3">
      <c r="A3" s="14" t="inlineStr">
        <is>
          <t>Les valeurs s'affichent au premier ouverture du fichier (recalcul forcé). Logique des formules vérifiée indépendamment avant livraison.</t>
        </is>
      </c>
    </row>
    <row r="4">
      <c r="A4" s="15" t="inlineStr">
        <is>
          <t>AXE 1 — Secteur</t>
        </is>
      </c>
      <c r="C4" s="15" t="inlineStr">
        <is>
          <t>Nb</t>
        </is>
      </c>
      <c r="E4" s="15" t="inlineStr">
        <is>
          <t>AXE 4 — Type de participants</t>
        </is>
      </c>
      <c r="F4" s="15" t="inlineStr">
        <is>
          <t>Nb</t>
        </is>
      </c>
    </row>
    <row r="5">
      <c r="A5" s="16" t="n">
        <v>0</v>
      </c>
      <c r="B5" s="16" t="inlineStr">
        <is>
          <t>Générique / Transversal</t>
        </is>
      </c>
      <c r="C5" s="16">
        <f>SUMPRODUCT(--ISNUMBER(SEARCH("|0|","|"&amp;Événements!$Y$2:$Y$239&amp;"|")))</f>
        <v/>
      </c>
      <c r="E5" s="16" t="inlineStr">
        <is>
          <t>1 — Décideurs PME/ETI</t>
        </is>
      </c>
      <c r="F5" s="16">
        <f>SUMPRODUCT(--ISNUMBER(SEARCH("|1|","|"&amp;Événements!$AO$2:$AO$239&amp;"|")))</f>
        <v/>
      </c>
    </row>
    <row r="6">
      <c r="A6" s="16" t="n">
        <v>1</v>
      </c>
      <c r="B6" s="16" t="inlineStr">
        <is>
          <t>Luxe / Mode / Beauté / Joaillerie</t>
        </is>
      </c>
      <c r="C6" s="16">
        <f>SUMPRODUCT(--ISNUMBER(SEARCH("|1|","|"&amp;Événements!$Y$2:$Y$239&amp;"|")))</f>
        <v/>
      </c>
      <c r="E6" s="16" t="inlineStr">
        <is>
          <t>2 — Décideurs Grands comptes</t>
        </is>
      </c>
      <c r="F6" s="16">
        <f>SUMPRODUCT(--ISNUMBER(SEARCH("|2|","|"&amp;Événements!$AO$2:$AO$239&amp;"|")))</f>
        <v/>
      </c>
    </row>
    <row r="7">
      <c r="A7" s="16" t="n">
        <v>2</v>
      </c>
      <c r="B7" s="16" t="inlineStr">
        <is>
          <t>Immobilier / Construction / BTP</t>
        </is>
      </c>
      <c r="C7" s="16">
        <f>SUMPRODUCT(--ISNUMBER(SEARCH("|2|","|"&amp;Événements!$Y$2:$Y$239&amp;"|")))</f>
        <v/>
      </c>
      <c r="E7" s="16" t="inlineStr">
        <is>
          <t>3 — Opérationnels / Utilisateurs métier</t>
        </is>
      </c>
      <c r="F7" s="16">
        <f>SUMPRODUCT(--ISNUMBER(SEARCH("|3|","|"&amp;Événements!$AO$2:$AO$239&amp;"|")))</f>
        <v/>
      </c>
    </row>
    <row r="8">
      <c r="A8" s="16" t="n">
        <v>3</v>
      </c>
      <c r="B8" s="16" t="inlineStr">
        <is>
          <t>Industrie / Manufacturing / Automobile / Aéro</t>
        </is>
      </c>
      <c r="C8" s="16">
        <f>SUMPRODUCT(--ISNUMBER(SEARCH("|3|","|"&amp;Événements!$Y$2:$Y$239&amp;"|")))</f>
        <v/>
      </c>
      <c r="E8" s="16" t="inlineStr">
        <is>
          <t>4 — Partenaires / Prescripteurs / Consultants</t>
        </is>
      </c>
      <c r="F8" s="16">
        <f>SUMPRODUCT(--ISNUMBER(SEARCH("|4|","|"&amp;Événements!$AO$2:$AO$239&amp;"|")))</f>
        <v/>
      </c>
    </row>
    <row r="9">
      <c r="A9" s="16" t="n">
        <v>4</v>
      </c>
      <c r="B9" s="16" t="inlineStr">
        <is>
          <t>Tech / IT / Logiciels / Télécom</t>
        </is>
      </c>
      <c r="C9" s="16">
        <f>SUMPRODUCT(--ISNUMBER(SEARCH("|4|","|"&amp;Événements!$Y$2:$Y$239&amp;"|")))</f>
        <v/>
      </c>
      <c r="E9" s="16" t="inlineStr">
        <is>
          <t>5 — Pairs / Concurrents / Acteurs de l'offre</t>
        </is>
      </c>
      <c r="F9" s="16">
        <f>SUMPRODUCT(--ISNUMBER(SEARCH("|5|","|"&amp;Événements!$AO$2:$AO$239&amp;"|")))</f>
        <v/>
      </c>
    </row>
    <row r="10">
      <c r="A10" s="16" t="n">
        <v>5</v>
      </c>
      <c r="B10" s="16" t="inlineStr">
        <is>
          <t>Commerce / Distribution / E-commerce</t>
        </is>
      </c>
      <c r="C10" s="16">
        <f>SUMPRODUCT(--ISNUMBER(SEARCH("|5|","|"&amp;Événements!$Y$2:$Y$239&amp;"|")))</f>
        <v/>
      </c>
      <c r="E10" s="16" t="inlineStr">
        <is>
          <t>6 — Investisseurs / Écosystème financement</t>
        </is>
      </c>
      <c r="F10" s="16">
        <f>SUMPRODUCT(--ISNUMBER(SEARCH("|6|","|"&amp;Événements!$AO$2:$AO$239&amp;"|")))</f>
        <v/>
      </c>
    </row>
    <row r="11">
      <c r="A11" s="16" t="n">
        <v>6</v>
      </c>
      <c r="B11" s="16" t="inlineStr">
        <is>
          <t>Agroalimentaire / Agriculture</t>
        </is>
      </c>
      <c r="C11" s="16">
        <f>SUMPRODUCT(--ISNUMBER(SEARCH("|6|","|"&amp;Événements!$Y$2:$Y$239&amp;"|")))</f>
        <v/>
      </c>
      <c r="E11" s="16" t="inlineStr">
        <is>
          <t>7 — Experts / Associations professionnelles</t>
        </is>
      </c>
      <c r="F11" s="16">
        <f>SUMPRODUCT(--ISNUMBER(SEARCH("|7|","|"&amp;Événements!$AO$2:$AO$239&amp;"|")))</f>
        <v/>
      </c>
    </row>
    <row r="12">
      <c r="A12" s="16" t="n">
        <v>7</v>
      </c>
      <c r="B12" s="16" t="inlineStr">
        <is>
          <t>Santé / Pharma / Biotech / Medtech</t>
        </is>
      </c>
      <c r="C12" s="16">
        <f>SUMPRODUCT(--ISNUMBER(SEARCH("|7|","|"&amp;Événements!$Y$2:$Y$239&amp;"|")))</f>
        <v/>
      </c>
      <c r="E12" s="16" t="inlineStr">
        <is>
          <t>8 — Journalistes / Médias</t>
        </is>
      </c>
      <c r="F12" s="16">
        <f>SUMPRODUCT(--ISNUMBER(SEARCH("|8|","|"&amp;Événements!$AO$2:$AO$239&amp;"|")))</f>
        <v/>
      </c>
    </row>
    <row r="13">
      <c r="A13" s="16" t="n">
        <v>8</v>
      </c>
      <c r="B13" s="16" t="inlineStr">
        <is>
          <t>Finance / Banque / Assurance</t>
        </is>
      </c>
      <c r="C13" s="16">
        <f>SUMPRODUCT(--ISNUMBER(SEARCH("|8|","|"&amp;Événements!$Y$2:$Y$239&amp;"|")))</f>
        <v/>
      </c>
      <c r="E13" s="16" t="inlineStr">
        <is>
          <t>9 — Institutionnels / Secteur public</t>
        </is>
      </c>
      <c r="F13" s="16">
        <f>SUMPRODUCT(--ISNUMBER(SEARCH("|9|","|"&amp;Événements!$AO$2:$AO$239&amp;"|")))</f>
        <v/>
      </c>
    </row>
    <row r="14">
      <c r="A14" s="16" t="n">
        <v>9</v>
      </c>
      <c r="B14" s="16" t="inlineStr">
        <is>
          <t>Services pro / Conseil / Juridique / Compta</t>
        </is>
      </c>
      <c r="C14" s="16">
        <f>SUMPRODUCT(--ISNUMBER(SEARCH("|9|","|"&amp;Événements!$Y$2:$Y$239&amp;"|")))</f>
        <v/>
      </c>
      <c r="E14" s="16" t="inlineStr">
        <is>
          <t>10 — Étudiants / Jeunes diplômés</t>
        </is>
      </c>
      <c r="F14" s="16">
        <f>SUMPRODUCT(--ISNUMBER(SEARCH("|10|","|"&amp;Événements!$AO$2:$AO$239&amp;"|")))</f>
        <v/>
      </c>
    </row>
    <row r="15">
      <c r="A15" s="16" t="n">
        <v>10</v>
      </c>
      <c r="B15" s="16" t="inlineStr">
        <is>
          <t>Transport / Logistique / Supply Chain</t>
        </is>
      </c>
      <c r="C15" s="16">
        <f>SUMPRODUCT(--ISNUMBER(SEARCH("|10|","|"&amp;Événements!$Y$2:$Y$239&amp;"|")))</f>
        <v/>
      </c>
    </row>
    <row r="16">
      <c r="A16" s="16" t="n">
        <v>11</v>
      </c>
      <c r="B16" s="16" t="inlineStr">
        <is>
          <t>Énergie / Environnement / Utilities</t>
        </is>
      </c>
      <c r="C16" s="16">
        <f>SUMPRODUCT(--ISNUMBER(SEARCH("|11|","|"&amp;Événements!$Y$2:$Y$239&amp;"|")))</f>
        <v/>
      </c>
    </row>
    <row r="17">
      <c r="A17" s="16" t="n">
        <v>12</v>
      </c>
      <c r="B17" s="16" t="inlineStr">
        <is>
          <t>Éducation / Formation</t>
        </is>
      </c>
      <c r="C17" s="16">
        <f>SUMPRODUCT(--ISNUMBER(SEARCH("|12|","|"&amp;Événements!$Y$2:$Y$239&amp;"|")))</f>
        <v/>
      </c>
    </row>
    <row r="18">
      <c r="A18" s="16" t="n">
        <v>13</v>
      </c>
      <c r="B18" s="16" t="inlineStr">
        <is>
          <t>Secteur public / Collectivités</t>
        </is>
      </c>
      <c r="C18" s="16">
        <f>SUMPRODUCT(--ISNUMBER(SEARCH("|13|","|"&amp;Événements!$Y$2:$Y$239&amp;"|")))</f>
        <v/>
      </c>
    </row>
    <row r="19">
      <c r="A19" s="16" t="n">
        <v>14</v>
      </c>
      <c r="B19" s="16" t="inlineStr">
        <is>
          <t>Hôtellerie / Restauration / Tourisme</t>
        </is>
      </c>
      <c r="C19" s="16">
        <f>SUMPRODUCT(--ISNUMBER(SEARCH("|14|","|"&amp;Événements!$Y$2:$Y$239&amp;"|")))</f>
        <v/>
      </c>
    </row>
    <row r="20">
      <c r="A20" s="16" t="n">
        <v>15</v>
      </c>
      <c r="B20" s="16" t="inlineStr">
        <is>
          <t>Médias / Communication / Culture</t>
        </is>
      </c>
      <c r="C20" s="16">
        <f>SUMPRODUCT(--ISNUMBER(SEARCH("|15|","|"&amp;Événements!$Y$2:$Y$239&amp;"|")))</f>
        <v/>
      </c>
    </row>
    <row r="21">
      <c r="A21" s="16" t="n">
        <v>16</v>
      </c>
      <c r="B21" s="16" t="inlineStr">
        <is>
          <t>IA / Intelligence artificielle</t>
        </is>
      </c>
      <c r="C21" s="16">
        <f>SUMPRODUCT(--ISNUMBER(SEARCH("|16|","|"&amp;Événements!$Y$2:$Y$239&amp;"|")))</f>
        <v/>
      </c>
    </row>
    <row r="23">
      <c r="A23" s="15" t="inlineStr">
        <is>
          <t>AXE 2 — Logiciel</t>
        </is>
      </c>
      <c r="C23" s="15" t="inlineStr">
        <is>
          <t>Nb</t>
        </is>
      </c>
      <c r="E23" s="15" t="inlineStr">
        <is>
          <t>AXE 3 — Nombre de participants</t>
        </is>
      </c>
      <c r="F23" s="15" t="inlineStr">
        <is>
          <t>Nb</t>
        </is>
      </c>
    </row>
    <row r="24">
      <c r="A24" s="16" t="n">
        <v>0</v>
      </c>
      <c r="B24" s="16" t="inlineStr">
        <is>
          <t>Générique / Multi-éditeurs / Sans dominante</t>
        </is>
      </c>
      <c r="C24" s="16">
        <f>COUNTIF(Événements!$AE$2:$AE$239,0)</f>
        <v/>
      </c>
      <c r="E24" s="16" t="inlineStr">
        <is>
          <t>1 — 1 à 15</t>
        </is>
      </c>
      <c r="F24" s="16">
        <f>COUNTIF(Événements!$AI$2:$AI$239,1)</f>
        <v/>
      </c>
    </row>
    <row r="25">
      <c r="A25" s="16" t="n">
        <v>1</v>
      </c>
      <c r="B25" s="16" t="inlineStr">
        <is>
          <t>ERP / Gestion intégrée</t>
        </is>
      </c>
      <c r="C25" s="16">
        <f>COUNTIF(Événements!$AE$2:$AE$239,1)</f>
        <v/>
      </c>
      <c r="E25" s="16" t="inlineStr">
        <is>
          <t>2 — 16 à 40</t>
        </is>
      </c>
      <c r="F25" s="16">
        <f>COUNTIF(Événements!$AI$2:$AI$239,2)</f>
        <v/>
      </c>
    </row>
    <row r="26">
      <c r="A26" s="16" t="n">
        <v>2</v>
      </c>
      <c r="B26" s="16" t="inlineStr">
        <is>
          <t>CRM / Vente / Relation client</t>
        </is>
      </c>
      <c r="C26" s="16">
        <f>COUNTIF(Événements!$AE$2:$AE$239,2)</f>
        <v/>
      </c>
      <c r="E26" s="16" t="inlineStr">
        <is>
          <t>3 — 41 à 120</t>
        </is>
      </c>
      <c r="F26" s="16">
        <f>COUNTIF(Événements!$AI$2:$AI$239,3)</f>
        <v/>
      </c>
    </row>
    <row r="27">
      <c r="A27" s="16" t="n">
        <v>3</v>
      </c>
      <c r="B27" s="16" t="inlineStr">
        <is>
          <t>Finance / Comptabilité / Trésorerie / Facturation</t>
        </is>
      </c>
      <c r="C27" s="16">
        <f>COUNTIF(Événements!$AE$2:$AE$239,3)</f>
        <v/>
      </c>
      <c r="E27" s="16" t="inlineStr">
        <is>
          <t>4 — 121 à 400</t>
        </is>
      </c>
      <c r="F27" s="16">
        <f>COUNTIF(Événements!$AI$2:$AI$239,4)</f>
        <v/>
      </c>
    </row>
    <row r="28">
      <c r="A28" s="16" t="n">
        <v>4</v>
      </c>
      <c r="B28" s="16" t="inlineStr">
        <is>
          <t>RH / Paie / SIRH</t>
        </is>
      </c>
      <c r="C28" s="16">
        <f>COUNTIF(Événements!$AE$2:$AE$239,4)</f>
        <v/>
      </c>
      <c r="E28" s="16" t="inlineStr">
        <is>
          <t>5 — 401 à 2 000</t>
        </is>
      </c>
      <c r="F28" s="16">
        <f>COUNTIF(Événements!$AI$2:$AI$239,5)</f>
        <v/>
      </c>
    </row>
    <row r="29">
      <c r="A29" s="16" t="n">
        <v>5</v>
      </c>
      <c r="B29" s="16" t="inlineStr">
        <is>
          <t>GED / Dématérialisation / Workflow</t>
        </is>
      </c>
      <c r="C29" s="16">
        <f>COUNTIF(Événements!$AE$2:$AE$239,5)</f>
        <v/>
      </c>
      <c r="E29" s="16" t="inlineStr">
        <is>
          <t>6 — plus de 2 000</t>
        </is>
      </c>
      <c r="F29" s="16">
        <f>COUNTIF(Événements!$AI$2:$AI$239,6)</f>
        <v/>
      </c>
    </row>
    <row r="30">
      <c r="A30" s="16" t="n">
        <v>6</v>
      </c>
      <c r="B30" s="16" t="inlineStr">
        <is>
          <t>Supply Chain / Achats / WMS / Logistique</t>
        </is>
      </c>
      <c r="C30" s="16">
        <f>COUNTIF(Événements!$AE$2:$AE$239,6)</f>
        <v/>
      </c>
    </row>
    <row r="31">
      <c r="A31" s="16" t="n">
        <v>7</v>
      </c>
      <c r="B31" s="16" t="inlineStr">
        <is>
          <t>E-commerce / Commerce digital / Marketplace</t>
        </is>
      </c>
      <c r="C31" s="16">
        <f>COUNTIF(Événements!$AE$2:$AE$239,7)</f>
        <v/>
      </c>
      <c r="E31" s="15" t="inlineStr">
        <is>
          <t>AXE 5 — Accessibilité</t>
        </is>
      </c>
      <c r="F31" s="15" t="inlineStr">
        <is>
          <t>Nb</t>
        </is>
      </c>
    </row>
    <row r="32">
      <c r="A32" s="16" t="n">
        <v>8</v>
      </c>
      <c r="B32" s="16" t="inlineStr">
        <is>
          <t>PLM / CAO / Ingénierie / Conception</t>
        </is>
      </c>
      <c r="C32" s="16">
        <f>COUNTIF(Événements!$AE$2:$AE$239,8)</f>
        <v/>
      </c>
      <c r="E32" s="16" t="inlineStr">
        <is>
          <t>1 — Facile — accès ouvert sans filtre réel</t>
        </is>
      </c>
      <c r="F32" s="16">
        <f>COUNTIF(Événements!$AS$2:$AS$239,1)</f>
        <v/>
      </c>
    </row>
    <row r="33">
      <c r="A33" s="16" t="n">
        <v>9</v>
      </c>
      <c r="B33" s="16" t="inlineStr">
        <is>
          <t>Data / BI / Analytics</t>
        </is>
      </c>
      <c r="C33" s="16">
        <f>COUNTIF(Événements!$AE$2:$AE$239,9)</f>
        <v/>
      </c>
      <c r="E33" s="16" t="inlineStr">
        <is>
          <t>2 — Moyen — ne dépend que de vous</t>
        </is>
      </c>
      <c r="F33" s="16">
        <f>COUNTIF(Événements!$AS$2:$AS$239,2)</f>
        <v/>
      </c>
    </row>
    <row r="34">
      <c r="A34" s="16" t="n">
        <v>10</v>
      </c>
      <c r="B34" s="16" t="inlineStr">
        <is>
          <t>Cybersécurité</t>
        </is>
      </c>
      <c r="C34" s="16">
        <f>COUNTIF(Événements!$AE$2:$AE$239,10)</f>
        <v/>
      </c>
      <c r="E34" s="16" t="inlineStr">
        <is>
          <t>3 — Difficile — dépend d'un tiers</t>
        </is>
      </c>
      <c r="F34" s="16">
        <f>COUNTIF(Événements!$AS$2:$AS$239,3)</f>
        <v/>
      </c>
    </row>
    <row r="35">
      <c r="A35" s="16" t="n">
        <v>11</v>
      </c>
      <c r="B35" s="16" t="inlineStr">
        <is>
          <t>IA / Automatisation / No-code / Low-code</t>
        </is>
      </c>
      <c r="C35" s="16">
        <f>COUNTIF(Événements!$AE$2:$AE$239,11)</f>
        <v/>
      </c>
    </row>
    <row r="36">
      <c r="A36" s="16" t="n">
        <v>12</v>
      </c>
      <c r="B36" s="16" t="inlineStr">
        <is>
          <t>Gestion de projet / Outils collaboratifs métier</t>
        </is>
      </c>
      <c r="C36" s="16">
        <f>COUNTIF(Événements!$AE$2:$AE$239,12)</f>
        <v/>
      </c>
    </row>
    <row r="38">
      <c r="A38" s="15" t="inlineStr">
        <is>
          <t>Part de constaté par axe</t>
        </is>
      </c>
      <c r="C38" s="15" t="inlineStr">
        <is>
          <t>Constaté</t>
        </is>
      </c>
      <c r="E38" s="15" t="inlineStr">
        <is>
          <t>Répartition</t>
        </is>
      </c>
      <c r="F38" s="15" t="inlineStr">
        <is>
          <t>Nb</t>
        </is>
      </c>
    </row>
    <row r="39">
      <c r="A39" s="16" t="inlineStr"/>
      <c r="B39" s="16" t="inlineStr">
        <is>
          <t>Axe 2 — Logiciel</t>
        </is>
      </c>
      <c r="C39" s="16">
        <f>COUNTIF(Événements!$AG$2:$AG$239,"constaté")</f>
        <v/>
      </c>
      <c r="E39" s="16" t="inlineStr">
        <is>
          <t>Total événements</t>
        </is>
      </c>
      <c r="F39" s="16">
        <f>COUNTA(Événements!$A$2:$A$239)</f>
        <v/>
      </c>
    </row>
    <row r="40">
      <c r="A40" s="16" t="inlineStr"/>
      <c r="B40" s="16" t="inlineStr">
        <is>
          <t>Axe 3 — Nombre</t>
        </is>
      </c>
      <c r="C40" s="16">
        <f>COUNTIF(Événements!$AK$2:$AK$239,"constaté")</f>
        <v/>
      </c>
      <c r="E40" s="16" t="inlineStr">
        <is>
          <t>Septembre (à partir du 15)</t>
        </is>
      </c>
      <c r="F40" s="16">
        <f>COUNTIF(Événements!$C$2:$C$239,"2026-09*")</f>
        <v/>
      </c>
    </row>
    <row r="41">
      <c r="A41" s="16" t="inlineStr"/>
      <c r="B41" s="16" t="inlineStr">
        <is>
          <t>Axe 4 — Participants</t>
        </is>
      </c>
      <c r="C41" s="16">
        <f>COUNTIF(Événements!$AQ$2:$AQ$239,"constaté")</f>
        <v/>
      </c>
      <c r="E41" s="16" t="inlineStr">
        <is>
          <t>Octobre</t>
        </is>
      </c>
      <c r="F41" s="16">
        <f>COUNTIF(Événements!$C$2:$C$239,"2026-10*")</f>
        <v/>
      </c>
    </row>
    <row r="42">
      <c r="A42" s="16" t="inlineStr"/>
      <c r="B42" s="16" t="inlineStr">
        <is>
          <t>Axe 5 — Accessibilité</t>
        </is>
      </c>
      <c r="C42" s="16">
        <f>COUNTIF(Événements!$AU$2:$AU$239,"constaté")</f>
        <v/>
      </c>
      <c r="E42" s="16" t="inlineStr">
        <is>
          <t>Novembre</t>
        </is>
      </c>
      <c r="F42" s="16">
        <f>COUNTIF(Événements!$C$2:$C$239,"2026-11*")</f>
        <v/>
      </c>
    </row>
    <row r="43">
      <c r="E43" s="16" t="inlineStr">
        <is>
          <t>Décembre</t>
        </is>
      </c>
      <c r="F43" s="16">
        <f>COUNTIF(Événements!$C$2:$C$239,"2026-12*")</f>
        <v/>
      </c>
    </row>
    <row r="44">
      <c r="E44" s="16" t="inlineStr">
        <is>
          <t>Estimations en confiance faible</t>
        </is>
      </c>
      <c r="F44" s="16">
        <f>COUNTIF(Événements!$AN$2:$AN$239,"faible")</f>
        <v/>
      </c>
    </row>
    <row r="46">
      <c r="A46" s="15" t="inlineStr">
        <is>
          <t>Répartition par département</t>
        </is>
      </c>
      <c r="C46" s="15" t="inlineStr">
        <is>
          <t>Nb</t>
        </is>
      </c>
    </row>
    <row r="47">
      <c r="A47" s="16" t="inlineStr">
        <is>
          <t>75</t>
        </is>
      </c>
      <c r="B47" s="16" t="inlineStr"/>
      <c r="C47" s="16">
        <f>COUNTIF(Événements!$I$2:$I$239,"75")</f>
        <v/>
      </c>
    </row>
    <row r="48">
      <c r="A48" s="16" t="inlineStr">
        <is>
          <t>77</t>
        </is>
      </c>
      <c r="B48" s="16" t="inlineStr"/>
      <c r="C48" s="16">
        <f>COUNTIF(Événements!$I$2:$I$239,"77")</f>
        <v/>
      </c>
    </row>
    <row r="49">
      <c r="A49" s="16" t="inlineStr">
        <is>
          <t>78</t>
        </is>
      </c>
      <c r="B49" s="16" t="inlineStr"/>
      <c r="C49" s="16">
        <f>COUNTIF(Événements!$I$2:$I$239,"78")</f>
        <v/>
      </c>
    </row>
    <row r="50">
      <c r="A50" s="16" t="inlineStr">
        <is>
          <t>91</t>
        </is>
      </c>
      <c r="B50" s="16" t="inlineStr"/>
      <c r="C50" s="16">
        <f>COUNTIF(Événements!$I$2:$I$239,"91")</f>
        <v/>
      </c>
    </row>
    <row r="51">
      <c r="A51" s="16" t="inlineStr">
        <is>
          <t>92</t>
        </is>
      </c>
      <c r="B51" s="16" t="inlineStr"/>
      <c r="C51" s="16">
        <f>COUNTIF(Événements!$I$2:$I$239,"92")</f>
        <v/>
      </c>
    </row>
    <row r="52">
      <c r="A52" s="16" t="inlineStr">
        <is>
          <t>93</t>
        </is>
      </c>
      <c r="B52" s="16" t="inlineStr"/>
      <c r="C52" s="16">
        <f>COUNTIF(Événements!$I$2:$I$239,"93")</f>
        <v/>
      </c>
    </row>
    <row r="53">
      <c r="A53" s="16" t="inlineStr">
        <is>
          <t>94</t>
        </is>
      </c>
      <c r="B53" s="16" t="inlineStr"/>
      <c r="C53" s="16">
        <f>COUNTIF(Événements!$I$2:$I$239,"94")</f>
        <v/>
      </c>
    </row>
    <row r="54">
      <c r="A54" s="16" t="inlineStr">
        <is>
          <t>95</t>
        </is>
      </c>
      <c r="B54" s="16" t="inlineStr"/>
      <c r="C54" s="16">
        <f>COUNTIF(Événements!$I$2:$I$239,"95")</f>
        <v/>
      </c>
    </row>
    <row r="55">
      <c r="A55" s="16" t="inlineStr">
        <is>
          <t>n.i.</t>
        </is>
      </c>
      <c r="B55" s="16" t="inlineStr">
        <is>
          <t>département non identifié</t>
        </is>
      </c>
      <c r="C55" s="16">
        <f>COUNTIF(Événements!$I$2:$I$239,"non identifié publiquement")</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7"/>
  <sheetViews>
    <sheetView workbookViewId="0">
      <pane ySplit="1" topLeftCell="A2" activePane="bottomLeft" state="frozen"/>
      <selection pane="bottomLeft" activeCell="A1" sqref="A1"/>
    </sheetView>
  </sheetViews>
  <sheetFormatPr baseColWidth="8" defaultRowHeight="15"/>
  <cols>
    <col width="52" customWidth="1" min="1" max="1"/>
    <col width="48" customWidth="1" min="2" max="2"/>
    <col width="24" customWidth="1" min="3" max="3"/>
    <col width="84" customWidth="1" min="4" max="4"/>
  </cols>
  <sheetData>
    <row r="1" ht="30" customHeight="1">
      <c r="A1" s="9" t="inlineStr">
        <is>
          <t>nom_evenement</t>
        </is>
      </c>
      <c r="B1" s="9" t="inlineStr">
        <is>
          <t>url_source</t>
        </is>
      </c>
      <c r="C1" s="9" t="inlineStr">
        <is>
          <t>gate_declenche</t>
        </is>
      </c>
      <c r="D1" s="9" t="inlineStr">
        <is>
          <t>justification</t>
        </is>
      </c>
    </row>
    <row r="2">
      <c r="A2" s="10" t="inlineStr">
        <is>
          <t>122e Congres des notaires</t>
        </is>
      </c>
      <c r="B2" s="10" t="inlineStr">
        <is>
          <t>https://www.village-justice.com/articles/grands-evenements-juridiques-droit</t>
        </is>
      </c>
      <c r="C2" s="10" t="inlineStr">
        <is>
          <t>GATE_1_GEOGRAPHIE</t>
        </is>
      </c>
      <c r="D2" s="11" t="inlineStr">
        <is>
          <t>Se tient du 30 septembre au 2 octobre 2026 a Lille, hors Ile-de-France.</t>
        </is>
      </c>
    </row>
    <row r="3">
      <c r="A3" s="10" t="inlineStr">
        <is>
          <t>18e colloque douanier europeen</t>
        </is>
      </c>
      <c r="B3" s="10" t="inlineStr">
        <is>
          <t>https://www.franceindustrie.org/agenda/</t>
        </is>
      </c>
      <c r="C3" s="10" t="inlineStr">
        <is>
          <t>GATE_1_GEOGRAPHIE</t>
        </is>
      </c>
      <c r="D3" s="11" t="inlineStr">
        <is>
          <t>Se tient au Palais des congres de Reims, hors Ile-de-France.</t>
        </is>
      </c>
    </row>
    <row r="4">
      <c r="A4" s="10" t="inlineStr">
        <is>
          <t>40e congres de la Conference Internationale des Barreaux</t>
        </is>
      </c>
      <c r="B4" s="10" t="inlineStr">
        <is>
          <t>https://www.village-justice.com/articles/grands-evenements-juridiques-droit</t>
        </is>
      </c>
      <c r="C4" s="10" t="inlineStr">
        <is>
          <t>GATE_1_GEOGRAPHIE</t>
        </is>
      </c>
      <c r="D4" s="11" t="inlineStr">
        <is>
          <t>Se tient du 2 au 5 decembre 2026 a Brazzaville (Republique du Congo), hors Ile-de-France.</t>
        </is>
      </c>
    </row>
    <row r="5">
      <c r="A5" s="10" t="inlineStr">
        <is>
          <t>54e Congres de la FPI 2026</t>
        </is>
      </c>
      <c r="B5" s="10" t="inlineStr">
        <is>
          <t>https://fpifrance.fr/evenements/54e-congres-de-la-fpi-2026</t>
        </is>
      </c>
      <c r="C5" s="10" t="inlineStr">
        <is>
          <t>GATE_1_GEOGRAPHIE</t>
        </is>
      </c>
      <c r="D5" s="11" t="inlineStr">
        <is>
          <t>Se tient au Palais des Congres de Saint-Malo le 30 juin 2026 : hors Ile-de-France et hors fenetre.</t>
        </is>
      </c>
    </row>
    <row r="6">
      <c r="A6" s="10" t="inlineStr">
        <is>
          <t>86e Congres Hlm et salon H'Expo 2026</t>
        </is>
      </c>
      <c r="B6" s="10" t="inlineStr">
        <is>
          <t>https://www.union-habitat.org/evenements/86eme-congres-hlm</t>
        </is>
      </c>
      <c r="C6" s="10" t="inlineStr">
        <is>
          <t>GATE_1_GEOGRAPHIE</t>
        </is>
      </c>
      <c r="D6" s="11" t="inlineStr">
        <is>
          <t>Se tient a Bordeaux du 22 au 24 septembre 2026, hors Ile-de-France.</t>
        </is>
      </c>
    </row>
    <row r="7">
      <c r="A7" s="10" t="inlineStr">
        <is>
          <t>Ameliorer la performance commerciale (Meylan)</t>
        </is>
      </c>
      <c r="B7" s="10" t="inlineStr">
        <is>
          <t>https://lafrenchtech.gouv.fr/fr/evenements/</t>
        </is>
      </c>
      <c r="C7" s="10" t="inlineStr">
        <is>
          <t>GATE_1_GEOGRAPHIE</t>
        </is>
      </c>
      <c r="D7" s="11" t="inlineStr">
        <is>
          <t>Se tient a Meylan (Isere) le 30 septembre 2026, hors Ile-de-France.</t>
        </is>
      </c>
    </row>
    <row r="8">
      <c r="A8" s="10" t="inlineStr">
        <is>
          <t>BDL&amp;TECH : le concours de start-ups</t>
        </is>
      </c>
      <c r="B8" s="10" t="inlineStr">
        <is>
          <t>https://lafrenchtech.gouv.fr/fr/evenements/</t>
        </is>
      </c>
      <c r="C8" s="10" t="inlineStr">
        <is>
          <t>GATE_1_GEOGRAPHIE</t>
        </is>
      </c>
      <c r="D8" s="11" t="inlineStr">
        <is>
          <t>Se tient a Grenoble le 25 septembre 2026, hors Ile-de-France.</t>
        </is>
      </c>
    </row>
    <row r="9">
      <c r="A9" s="10" t="inlineStr">
        <is>
          <t>Comprendre la micro-entreprise</t>
        </is>
      </c>
      <c r="B9" s="10" t="inlineStr">
        <is>
          <t>https://www.entreprises.cci-paris-idf.fr/evenements/comprendre-la-micro-entreprise-0</t>
        </is>
      </c>
      <c r="C9" s="10" t="inlineStr">
        <is>
          <t>GATE_1_GEOGRAPHIE</t>
        </is>
      </c>
      <c r="D9" s="11" t="inlineStr">
        <is>
          <t>Evenement 100 % en ligne, sans presentiel en Ile-de-France (et public micro-entrepreneurs, sous le plancher ICP).</t>
        </is>
      </c>
    </row>
    <row r="10">
      <c r="A10" s="10" t="inlineStr">
        <is>
          <t>Comprendre, créer et exploiter les documents commerciaux essentiels pour une activité professionnelle​ - 2 ème session</t>
        </is>
      </c>
      <c r="B10" s="10" t="inlineStr">
        <is>
          <t>https://www.entreprises.cci-paris-idf.fr/evenements/comprendre-creer-et-exploiter-les-documents-commerciaux-essentiels-pour-une-activite-0</t>
        </is>
      </c>
      <c r="C10" s="10" t="inlineStr">
        <is>
          <t>GATE_1_GEOGRAPHIE</t>
        </is>
      </c>
      <c r="D10" s="11" t="inlineStr">
        <is>
          <t>Evenement 100 % en ligne, sans presentiel en Ile-de-France.</t>
        </is>
      </c>
    </row>
    <row r="11">
      <c r="A11" s="10" t="inlineStr">
        <is>
          <t>Congres National de l'ACE 2026</t>
        </is>
      </c>
      <c r="B11" s="10" t="inlineStr">
        <is>
          <t>https://www.village-justice.com/articles/grands-evenements-juridiques-droit</t>
        </is>
      </c>
      <c r="C11" s="10" t="inlineStr">
        <is>
          <t>GATE_1_GEOGRAPHIE</t>
        </is>
      </c>
      <c r="D11" s="11" t="inlineStr">
        <is>
          <t>Se tient les 24 et 25 septembre 2026 a La Grande-Motte, hors Ile-de-France.</t>
        </is>
      </c>
    </row>
    <row r="12">
      <c r="A12" s="10" t="inlineStr">
        <is>
          <t>Congres de l'Union Internationale des Avocats 2026</t>
        </is>
      </c>
      <c r="B12" s="10" t="inlineStr">
        <is>
          <t>https://www.village-justice.com/articles/grands-evenements-juridiques-droit</t>
        </is>
      </c>
      <c r="C12" s="10" t="inlineStr">
        <is>
          <t>GATE_1_GEOGRAPHIE</t>
        </is>
      </c>
      <c r="D12" s="11" t="inlineStr">
        <is>
          <t>Se tient du 28 octobre au 1er novembre 2026 a Marrakech (Maroc), hors Ile-de-France.</t>
        </is>
      </c>
    </row>
    <row r="13">
      <c r="A13" s="10" t="inlineStr">
        <is>
          <t>Convention USF 2026 (26e edition, utilisateurs SAP francophones)</t>
        </is>
      </c>
      <c r="B13" s="10" t="inlineStr">
        <is>
          <t>https://www.usf.fr/tout-savoir-convention-2026/</t>
        </is>
      </c>
      <c r="C13" s="10" t="inlineStr">
        <is>
          <t>GATE_1_GEOGRAPHIE</t>
        </is>
      </c>
      <c r="D13" s="11" t="inlineStr">
        <is>
          <t>Se tient les 14 et 15 octobre 2026 au Palais de la Musique et des Congres de Strasbourg, hors Ile-de-France. A SIGNALER : cible DSI et architectes SAP tres alignee, mais geographie disqualifiante.</t>
        </is>
      </c>
    </row>
    <row r="14">
      <c r="A14" s="10" t="inlineStr">
        <is>
          <t>Convention internationale APM 2026</t>
        </is>
      </c>
      <c r="B14" s="10" t="inlineStr">
        <is>
          <t>https://www.convention-internationale.apm.fr/eventagenda</t>
        </is>
      </c>
      <c r="C14" s="10" t="inlineStr">
        <is>
          <t>GATE_1_GEOGRAPHIE</t>
        </is>
      </c>
      <c r="D14" s="11" t="inlineStr">
        <is>
          <t>Convention tenue a Paris en mars 2026 (40 ans de l'association, 6 000 dirigeants) : hors fenetre du 15 septembre au 31 decembre 2026. Exclusion de fenetre, signalee ici car la source a ete balayee.</t>
        </is>
      </c>
    </row>
    <row r="15">
      <c r="A15" s="10" t="inlineStr">
        <is>
          <t>Convention nationale des Avocats 2026</t>
        </is>
      </c>
      <c r="B15" s="10" t="inlineStr">
        <is>
          <t>https://www.village-justice.com/articles/grands-evenements-juridiques-droit</t>
        </is>
      </c>
      <c r="C15" s="10" t="inlineStr">
        <is>
          <t>GATE_1_GEOGRAPHIE</t>
        </is>
      </c>
      <c r="D15" s="11" t="inlineStr">
        <is>
          <t>Se tient du 21 au 23 octobre 2026 au MEETT de Toulouse, hors Ile-de-France.</t>
        </is>
      </c>
    </row>
    <row r="16">
      <c r="A16" s="10" t="inlineStr">
        <is>
          <t>Creer son document unique dans une TPE-PME (CPME Paris)</t>
        </is>
      </c>
      <c r="B16" s="10" t="inlineStr">
        <is>
          <t>https://cpmeparis.fr/agenda/</t>
        </is>
      </c>
      <c r="C16" s="10" t="inlineStr">
        <is>
          <t>GATE_1_GEOGRAPHIE</t>
        </is>
      </c>
      <c r="D16" s="11" t="inlineStr">
        <is>
          <t>Evenement 100 % en ligne selon l'agenda de l'organisateur, sans presentiel en Ile-de-France.</t>
        </is>
      </c>
    </row>
    <row r="17">
      <c r="A17" s="10" t="inlineStr">
        <is>
          <t>Cybersecurite de la Supply Chain - 1er webinaire du GT (Systematic)</t>
        </is>
      </c>
      <c r="B17" s="10" t="inlineStr">
        <is>
          <t>https://systematic-paris-region.org/evenement/cybersecurite-de-la-supply-chain/</t>
        </is>
      </c>
      <c r="C17" s="10" t="inlineStr">
        <is>
          <t>GATE_1_GEOGRAPHIE</t>
        </is>
      </c>
      <c r="D17" s="11" t="inlineStr">
        <is>
          <t>Webinaire du 29 septembre 2026 de 9h30 a 11h00, localisation annoncee 'Visio' : evenement 100 % en ligne.</t>
        </is>
      </c>
    </row>
    <row r="18">
      <c r="A18" s="10" t="inlineStr">
        <is>
          <t>EAIF Annual Event 2026 (European AI Forum, Hub France IA)</t>
        </is>
      </c>
      <c r="B18" s="10" t="inlineStr">
        <is>
          <t>https://www.hub-franceia.fr/evenements-v2/</t>
        </is>
      </c>
      <c r="C18" s="10" t="inlineStr">
        <is>
          <t>GATE_1_GEOGRAPHIE</t>
        </is>
      </c>
      <c r="D18" s="11" t="inlineStr">
        <is>
          <t>Evenement 100 % en ligne le 29 septembre 2026 selon l'agenda de l'organisateur.</t>
        </is>
      </c>
    </row>
    <row r="19">
      <c r="A19" s="10" t="inlineStr">
        <is>
          <t>Et si l'IA allegeait vraiment la vie du dirigeant ? (CPME Paris)</t>
        </is>
      </c>
      <c r="B19" s="10" t="inlineStr">
        <is>
          <t>https://cpmeparis.fr/agenda/</t>
        </is>
      </c>
      <c r="C19" s="10" t="inlineStr">
        <is>
          <t>GATE_1_GEOGRAPHIE</t>
        </is>
      </c>
      <c r="D19" s="11" t="inlineStr">
        <is>
          <t>Evenement 100 % en ligne selon l'agenda de l'organisateur, sans presentiel en Ile-de-France. A SIGNALER : sujet IA pour dirigeants, tres aligne avec l'offre, mais exclu par le gate geographique.</t>
        </is>
      </c>
    </row>
    <row r="20">
      <c r="A20" s="10" t="inlineStr">
        <is>
          <t>French Tech Connect #3</t>
        </is>
      </c>
      <c r="B20" s="10" t="inlineStr">
        <is>
          <t>https://lafrenchtech.gouv.fr/fr/evenements/</t>
        </is>
      </c>
      <c r="C20" s="10" t="inlineStr">
        <is>
          <t>GATE_1_GEOGRAPHIE</t>
        </is>
      </c>
      <c r="D20" s="11" t="inlineStr">
        <is>
          <t>Se tient a La Reunion du 22 au 24 septembre 2026, hors Ile-de-France.</t>
        </is>
      </c>
    </row>
    <row r="21">
      <c r="A21" s="10" t="inlineStr">
        <is>
          <t>Go Entrepreneurs Lyon 2026</t>
        </is>
      </c>
      <c r="B21" s="10" t="inlineStr">
        <is>
          <t>https://lafrenchtech.gouv.fr/fr/evenements/</t>
        </is>
      </c>
      <c r="C21" s="10" t="inlineStr">
        <is>
          <t>GATE_1_GEOGRAPHIE</t>
        </is>
      </c>
      <c r="D21" s="11" t="inlineStr">
        <is>
          <t>Se tient a Lyon le 24 septembre 2026, hors Ile-de-France.</t>
        </is>
      </c>
    </row>
    <row r="22">
      <c r="A22" s="10" t="inlineStr">
        <is>
          <t>Google Cloud Summit France 2026</t>
        </is>
      </c>
      <c r="B22" s="10" t="inlineStr">
        <is>
          <t>https://www.wavestone.com/en/event/google-cloud-summit-france-2026/</t>
        </is>
      </c>
      <c r="C22" s="10" t="inlineStr">
        <is>
          <t>GATE_1_GEOGRAPHIE</t>
        </is>
      </c>
      <c r="D22" s="11" t="inlineStr">
        <is>
          <t>S'est tenu le 4 juin 2026 a l'Accor Arena : hors fenetre du 15 septembre au 31 decembre 2026. Exclusion de fenetre, signalee ici car la source a ete balayee.</t>
        </is>
      </c>
    </row>
    <row r="23">
      <c r="A23" s="10" t="inlineStr">
        <is>
          <t>Grenoble : L'Hexagone Tour poursuit son tour de France</t>
        </is>
      </c>
      <c r="B23" s="10" t="inlineStr">
        <is>
          <t>https://lafrenchtech.gouv.fr/fr/evenements/</t>
        </is>
      </c>
      <c r="C23" s="10" t="inlineStr">
        <is>
          <t>GATE_1_GEOGRAPHIE</t>
        </is>
      </c>
      <c r="D23" s="11" t="inlineStr">
        <is>
          <t>Se tient a Grenoble le 15 septembre 2026, hors Ile-de-France.</t>
        </is>
      </c>
    </row>
    <row r="24">
      <c r="A24" s="10" t="inlineStr">
        <is>
          <t>IMPACT : le tour de France des solutions RSE</t>
        </is>
      </c>
      <c r="B24" s="10" t="inlineStr">
        <is>
          <t>https://lafrenchtech.gouv.fr/fr/evenements/</t>
        </is>
      </c>
      <c r="C24" s="10" t="inlineStr">
        <is>
          <t>GATE_1_GEOGRAPHIE</t>
        </is>
      </c>
      <c r="D24" s="11" t="inlineStr">
        <is>
          <t>Etape du 29 septembre 2026 a Luz-Saint-Sauveur, hors Ile-de-France.</t>
        </is>
      </c>
    </row>
    <row r="25">
      <c r="A25" s="10" t="inlineStr">
        <is>
          <t>INNOV'ADOUR #5 - forum annuel de l'innovation</t>
        </is>
      </c>
      <c r="B25" s="10" t="inlineStr">
        <is>
          <t>https://lafrenchtech.gouv.fr/fr/evenements/</t>
        </is>
      </c>
      <c r="C25" s="10" t="inlineStr">
        <is>
          <t>GATE_1_GEOGRAPHIE</t>
        </is>
      </c>
      <c r="D25" s="11" t="inlineStr">
        <is>
          <t>Se tient a Cauterets le 27 novembre 2026, hors Ile-de-France.</t>
        </is>
      </c>
    </row>
    <row r="26">
      <c r="A26" s="10" t="inlineStr">
        <is>
          <t>Le French Tech Day 2026</t>
        </is>
      </c>
      <c r="B26" s="10" t="inlineStr">
        <is>
          <t>https://lafrenchtech.gouv.fr/fr/evenements/</t>
        </is>
      </c>
      <c r="C26" s="10" t="inlineStr">
        <is>
          <t>GATE_1_GEOGRAPHIE</t>
        </is>
      </c>
      <c r="D26" s="11" t="inlineStr">
        <is>
          <t>Se tient a Bordeaux le 19 novembre 2026, hors Ile-de-France.</t>
        </is>
      </c>
    </row>
    <row r="27">
      <c r="A27" s="10" t="inlineStr">
        <is>
          <t>Learning Expedition FoodTech</t>
        </is>
      </c>
      <c r="B27" s="10" t="inlineStr">
        <is>
          <t>https://www.entreprises.cci-paris-idf.fr/evenements/learning-expedition-foodtech</t>
        </is>
      </c>
      <c r="C27" s="10" t="inlineStr">
        <is>
          <t>GATE_1_GEOGRAPHIE</t>
        </is>
      </c>
      <c r="D27" s="11" t="inlineStr">
        <is>
          <t>Se tient au FoodLab CTCPA a Troissereux (60112), dans l'Oise, hors Ile-de-France.</t>
        </is>
      </c>
    </row>
    <row r="28">
      <c r="A28" s="10" t="inlineStr">
        <is>
          <t>Meet The Big (Toulouse)</t>
        </is>
      </c>
      <c r="B28" s="10" t="inlineStr">
        <is>
          <t>https://lafrenchtech.gouv.fr/fr/evenements/</t>
        </is>
      </c>
      <c r="C28" s="10" t="inlineStr">
        <is>
          <t>GATE_1_GEOGRAPHIE</t>
        </is>
      </c>
      <c r="D28" s="11" t="inlineStr">
        <is>
          <t>Se tient a Toulouse le 30 septembre 2026, hors Ile-de-France.</t>
        </is>
      </c>
    </row>
    <row r="29">
      <c r="A29" s="10" t="inlineStr">
        <is>
          <t>Meet your deeptech partners</t>
        </is>
      </c>
      <c r="B29" s="10" t="inlineStr">
        <is>
          <t>https://lafrenchtech.gouv.fr/fr/evenements/</t>
        </is>
      </c>
      <c r="C29" s="10" t="inlineStr">
        <is>
          <t>GATE_1_GEOGRAPHIE</t>
        </is>
      </c>
      <c r="D29" s="11" t="inlineStr">
        <is>
          <t>Se tient a Saint-Etienne le 6 octobre 2026, hors Ile-de-France.</t>
        </is>
      </c>
    </row>
    <row r="30">
      <c r="A30" s="10" t="inlineStr">
        <is>
          <t>Menaces et cyberattaques : quelle réalité pour les TPE/PME françaises ?</t>
        </is>
      </c>
      <c r="B30" s="10" t="inlineStr">
        <is>
          <t>https://www.entreprises.cci-paris-idf.fr/evenements/menaces-et-cyberattaques-quelle-realite-pour-les-tpepme-francaises</t>
        </is>
      </c>
      <c r="C30" s="10" t="inlineStr">
        <is>
          <t>GATE_1_GEOGRAPHIE</t>
        </is>
      </c>
      <c r="D30" s="11" t="inlineStr">
        <is>
          <t>Evenement 100 % en ligne, sans presentiel en Ile-de-France.</t>
        </is>
      </c>
    </row>
    <row r="31">
      <c r="A31" s="10" t="inlineStr">
        <is>
          <t>Minalogic Innovation Boost - Robotics &amp; AI: Go to Europe</t>
        </is>
      </c>
      <c r="B31" s="10" t="inlineStr">
        <is>
          <t>https://lafrenchtech.gouv.fr/fr/evenements/</t>
        </is>
      </c>
      <c r="C31" s="10" t="inlineStr">
        <is>
          <t>GATE_1_GEOGRAPHIE</t>
        </is>
      </c>
      <c r="D31" s="11" t="inlineStr">
        <is>
          <t>Se tient a Charbonnieres-les-Bains le 6 octobre 2026, hors Ile-de-France. A SIGNALER : thematique robotique et IA tres alignee, geographie disqualifiante.</t>
        </is>
      </c>
    </row>
    <row r="32">
      <c r="A32" s="10" t="inlineStr">
        <is>
          <t>Play'n Export (Grenoble)</t>
        </is>
      </c>
      <c r="B32" s="10" t="inlineStr">
        <is>
          <t>https://lafrenchtech.gouv.fr/fr/evenements/</t>
        </is>
      </c>
      <c r="C32" s="10" t="inlineStr">
        <is>
          <t>GATE_1_GEOGRAPHIE</t>
        </is>
      </c>
      <c r="D32" s="11" t="inlineStr">
        <is>
          <t>Se tient a Grenoble le 5 novembre 2026, hors Ile-de-France.</t>
        </is>
      </c>
    </row>
    <row r="33">
      <c r="A33" s="10" t="inlineStr">
        <is>
          <t>Prendre en charge et prevenir les addictions (CPME Paris)</t>
        </is>
      </c>
      <c r="B33" s="10" t="inlineStr">
        <is>
          <t>https://cpmeparis.fr/agenda/</t>
        </is>
      </c>
      <c r="C33" s="10" t="inlineStr">
        <is>
          <t>GATE_1_GEOGRAPHIE</t>
        </is>
      </c>
      <c r="D33" s="11" t="inlineStr">
        <is>
          <t>Evenement 100 % en ligne selon l'agenda de l'organisateur, sans presentiel en Ile-de-France.</t>
        </is>
      </c>
    </row>
    <row r="34">
      <c r="A34" s="10" t="inlineStr">
        <is>
          <t>Rencontres Alumni Centrale Lyon (21 novembre 2026)</t>
        </is>
      </c>
      <c r="B34" s="10" t="inlineStr">
        <is>
          <t>https://www.franceindustrie.org/agenda/</t>
        </is>
      </c>
      <c r="C34" s="10" t="inlineStr">
        <is>
          <t>GATE_1_GEOGRAPHIE</t>
        </is>
      </c>
      <c r="D34" s="11" t="inlineStr">
        <is>
          <t>Se tient sur le campus de Centrale Lyon a Ecully, hors Ile-de-France.</t>
        </is>
      </c>
    </row>
    <row r="35">
      <c r="A35" s="10" t="inlineStr">
        <is>
          <t>Rencontres BtoB de la construction bois et biosourcée en IDF</t>
        </is>
      </c>
      <c r="B35" s="10" t="inlineStr">
        <is>
          <t>https://www.entreprises.cci-paris-idf.fr/evenements/rencontres-btob-de-la-construction-bois-et-biosourcee-en-idf</t>
        </is>
      </c>
      <c r="C35" s="10" t="inlineStr">
        <is>
          <t>GATE_1_GEOGRAPHIE</t>
        </is>
      </c>
      <c r="D35" s="11" t="inlineStr">
        <is>
          <t>Evenement 100 % en ligne, sans presentiel en Ile-de-France.</t>
        </is>
      </c>
    </row>
    <row r="36">
      <c r="A36" s="10" t="inlineStr">
        <is>
          <t>Seminaire Imagin-VR Prive</t>
        </is>
      </c>
      <c r="B36" s="10" t="inlineStr">
        <is>
          <t>https://lafrenchtech.gouv.fr/fr/evenements/</t>
        </is>
      </c>
      <c r="C36" s="10" t="inlineStr">
        <is>
          <t>GATE_1_GEOGRAPHIE</t>
        </is>
      </c>
      <c r="D36" s="11" t="inlineStr">
        <is>
          <t>Se tient a Change (Mayenne) le 24 septembre 2026, hors Ile-de-France.</t>
        </is>
      </c>
    </row>
    <row r="37">
      <c r="A37" s="10" t="inlineStr">
        <is>
          <t>Session Decouverte Systematic - 18 septembre 2026</t>
        </is>
      </c>
      <c r="B37" s="10" t="inlineStr">
        <is>
          <t>https://systematic-paris-region.org/evenement/session-decouverte-18092026/</t>
        </is>
      </c>
      <c r="C37" s="10" t="inlineStr">
        <is>
          <t>GATE_1_GEOGRAPHIE</t>
        </is>
      </c>
      <c r="D37" s="11" t="inlineStr">
        <is>
          <t>Localisation annoncee 'Visio' par l'organisateur : evenement 100 % en ligne.</t>
        </is>
      </c>
    </row>
    <row r="38">
      <c r="A38" s="10" t="inlineStr">
        <is>
          <t>Startup Challenge AgriTech</t>
        </is>
      </c>
      <c r="B38" s="10" t="inlineStr">
        <is>
          <t>https://lafrenchtech.gouv.fr/fr/evenements/</t>
        </is>
      </c>
      <c r="C38" s="10" t="inlineStr">
        <is>
          <t>GATE_1_GEOGRAPHIE</t>
        </is>
      </c>
      <c r="D38" s="11" t="inlineStr">
        <is>
          <t>Se tient a Limoges le 17 octobre 2026, hors Ile-de-France.</t>
        </is>
      </c>
    </row>
    <row r="39">
      <c r="A39" s="10" t="inlineStr">
        <is>
          <t>Table-ronde Regime par capitalisation aux Jeco (France Industrie)</t>
        </is>
      </c>
      <c r="B39" s="10" t="inlineStr">
        <is>
          <t>https://www.franceindustrie.org/agenda/</t>
        </is>
      </c>
      <c r="C39" s="10" t="inlineStr">
        <is>
          <t>GATE_1_GEOGRAPHIE</t>
        </is>
      </c>
      <c r="D39" s="11" t="inlineStr">
        <is>
          <t>Se tient a Lyon dans le cadre des Journees de l'Economie, hors Ile-de-France.</t>
        </is>
      </c>
    </row>
    <row r="40">
      <c r="A40" s="10" t="inlineStr">
        <is>
          <t>Testez avant d’embaucher, formez avant de recruter</t>
        </is>
      </c>
      <c r="B40" s="10" t="inlineStr">
        <is>
          <t>https://www.entreprises.cci-paris-idf.fr/evenements/testez-avant-dembaucher-formez-avant-de-recruter</t>
        </is>
      </c>
      <c r="C40" s="10" t="inlineStr">
        <is>
          <t>GATE_1_GEOGRAPHIE</t>
        </is>
      </c>
      <c r="D40" s="11" t="inlineStr">
        <is>
          <t>Evenement 100 % en ligne, sans presentiel en Ile-de-France.</t>
        </is>
      </c>
    </row>
    <row r="41">
      <c r="A41" s="10" t="inlineStr">
        <is>
          <t>WEBINAIRE : L’IA, un levier concret pour les TPE / PME</t>
        </is>
      </c>
      <c r="B41" s="10" t="inlineStr">
        <is>
          <t>https://www.entreprises.cci-paris-idf.fr/evenements/webinaire-lia-un-levier-concret-pour-les-tpe-pme</t>
        </is>
      </c>
      <c r="C41" s="10" t="inlineStr">
        <is>
          <t>GATE_1_GEOGRAPHIE</t>
        </is>
      </c>
      <c r="D41" s="11" t="inlineStr">
        <is>
          <t>Evenement 100 % en ligne, sans presentiel en Ile-de-France.</t>
        </is>
      </c>
    </row>
    <row r="42">
      <c r="A42" s="10" t="inlineStr">
        <is>
          <t>Webinaire 'Osez l'IA' Hub France IA x Galadrim</t>
        </is>
      </c>
      <c r="B42" s="10" t="inlineStr">
        <is>
          <t>https://www.hub-franceia.fr/evenements-v2/</t>
        </is>
      </c>
      <c r="C42" s="10" t="inlineStr">
        <is>
          <t>GATE_1_GEOGRAPHIE</t>
        </is>
      </c>
      <c r="D42" s="11" t="inlineStr">
        <is>
          <t>Evenement 100 % en ligne le 15 septembre 2026 selon l'agenda de l'organisateur.</t>
        </is>
      </c>
    </row>
    <row r="43">
      <c r="A43" s="10" t="inlineStr">
        <is>
          <t>Webinaire : Comment sécuriser le budget énergie de votre entreprise?</t>
        </is>
      </c>
      <c r="B43" s="10" t="inlineStr">
        <is>
          <t>https://www.entreprises.cci-paris-idf.fr/evenements/webinaire-comment-securiser-le-budget-energie-de-votre-entreprise</t>
        </is>
      </c>
      <c r="C43" s="10" t="inlineStr">
        <is>
          <t>GATE_1_GEOGRAPHIE</t>
        </is>
      </c>
      <c r="D43" s="11" t="inlineStr">
        <is>
          <t>Evenement 100 % en ligne, sans presentiel en Ile-de-France.</t>
        </is>
      </c>
    </row>
    <row r="44">
      <c r="A44" s="10" t="inlineStr">
        <is>
          <t>Webinaire Innovation Hub France IA - aides publiques pour projets numeriques</t>
        </is>
      </c>
      <c r="B44" s="10" t="inlineStr">
        <is>
          <t>https://www.hub-franceia.fr/evenements-v2/</t>
        </is>
      </c>
      <c r="C44" s="10" t="inlineStr">
        <is>
          <t>GATE_1_GEOGRAPHIE</t>
        </is>
      </c>
      <c r="D44" s="11" t="inlineStr">
        <is>
          <t>Evenement 100 % en ligne le 24 septembre 2026 selon l'agenda de l'organisateur.</t>
        </is>
      </c>
    </row>
    <row r="45">
      <c r="A45" s="10" t="inlineStr">
        <is>
          <t>Webinaire Rentree 2026 (Mission French Tech)</t>
        </is>
      </c>
      <c r="B45" s="10" t="inlineStr">
        <is>
          <t>https://lafrenchtech.gouv.fr/fr/evenements/</t>
        </is>
      </c>
      <c r="C45" s="10" t="inlineStr">
        <is>
          <t>GATE_1_GEOGRAPHIE</t>
        </is>
      </c>
      <c r="D45" s="11" t="inlineStr">
        <is>
          <t>Format webinaire, evenement 100 % en ligne.</t>
        </is>
      </c>
    </row>
    <row r="46">
      <c r="A46" s="10" t="inlineStr">
        <is>
          <t>Webinaire facturation électronique</t>
        </is>
      </c>
      <c r="B46" s="10" t="inlineStr">
        <is>
          <t>https://www.entreprises.cci-paris-idf.fr/evenements/webinaire-facturation-electronique</t>
        </is>
      </c>
      <c r="C46" s="10" t="inlineStr">
        <is>
          <t>GATE_1_GEOGRAPHIE</t>
        </is>
      </c>
      <c r="D46" s="11" t="inlineStr">
        <is>
          <t>Evenement 100 % en ligne, sans presentiel en Ile-de-France.</t>
        </is>
      </c>
    </row>
    <row r="47">
      <c r="A47" s="10" t="inlineStr">
        <is>
          <t>Webinar : Créer son entreprise à impact dans les Hauts-de-Seine : les 5 décisions clés pour bâtir un projet durable et finançable</t>
        </is>
      </c>
      <c r="B47" s="10" t="inlineStr">
        <is>
          <t>https://www.entreprises.cci-paris-idf.fr/evenements/webinar-les-5-decisions-cles-pour-batir-un-projet-durable-et-financable</t>
        </is>
      </c>
      <c r="C47" s="10" t="inlineStr">
        <is>
          <t>GATE_1_GEOGRAPHIE</t>
        </is>
      </c>
      <c r="D47" s="11" t="inlineStr">
        <is>
          <t>Evenement 100 % en ligne (plateforme Webikeo), sans presentiel en Ile-de-France.</t>
        </is>
      </c>
    </row>
    <row r="48">
      <c r="A48" s="10" t="inlineStr">
        <is>
          <t>Webinar : Femmes entrepreneures des Hauts-de-Seine, transformez vos ambitions en réussites</t>
        </is>
      </c>
      <c r="B48" s="10" t="inlineStr">
        <is>
          <t>https://www.entreprises.cci-paris-idf.fr/evenements/webinaire-femmes-entrepreneures-des-hauts-de-seine-transformez-vos-ambitions-en</t>
        </is>
      </c>
      <c r="C48" s="10" t="inlineStr">
        <is>
          <t>GATE_1_GEOGRAPHIE</t>
        </is>
      </c>
      <c r="D48" s="11" t="inlineStr">
        <is>
          <t>Evenement 100 % en ligne (plateforme Webikeo), sans presentiel en Ile-de-France.</t>
        </is>
      </c>
    </row>
    <row r="49">
      <c r="A49" s="10" t="inlineStr">
        <is>
          <t>Webinar : Votre entreprise va bien ? C’est le bon moment pour agir !</t>
        </is>
      </c>
      <c r="B49" s="10" t="inlineStr">
        <is>
          <t>https://www.entreprises.cci-paris-idf.fr/evenements/webinar-votre-entreprise-va-bien-cest-le-bon-moment-pour-agir</t>
        </is>
      </c>
      <c r="C49" s="10" t="inlineStr">
        <is>
          <t>GATE_1_GEOGRAPHIE</t>
        </is>
      </c>
      <c r="D49" s="11" t="inlineStr">
        <is>
          <t>Evenement 100 % en ligne, sans presentiel en Ile-de-France.</t>
        </is>
      </c>
    </row>
    <row r="50">
      <c r="A50" s="10" t="inlineStr">
        <is>
          <t>Webinar sur concevoir des agents IA sans coder : gagner du temps et de la performance pour son entreprise</t>
        </is>
      </c>
      <c r="B50" s="10" t="inlineStr">
        <is>
          <t>https://www.entreprises.cci-paris-idf.fr/evenements/webinar-sur-concevoir-des-agents-ia-sans-coder-gagner-du-temps-et-de-la-performance-pour</t>
        </is>
      </c>
      <c r="C50" s="10" t="inlineStr">
        <is>
          <t>GATE_1_GEOGRAPHIE</t>
        </is>
      </c>
      <c r="D50" s="11" t="inlineStr">
        <is>
          <t>Evenement 100 % en ligne, sans presentiel en Ile-de-France.</t>
        </is>
      </c>
    </row>
    <row r="51">
      <c r="A51" s="10" t="inlineStr">
        <is>
          <t>Webinar: Recrutement, combien peut vous coûter une erreur ?</t>
        </is>
      </c>
      <c r="B51" s="10" t="inlineStr">
        <is>
          <t>https://www.entreprises.cci-paris-idf.fr/evenements/webinar-recrutement-combien-peut-vous-couter-une-erreur</t>
        </is>
      </c>
      <c r="C51" s="10" t="inlineStr">
        <is>
          <t>GATE_1_GEOGRAPHIE</t>
        </is>
      </c>
      <c r="D51" s="11" t="inlineStr">
        <is>
          <t>Evenement 100 % en ligne, sans presentiel en Ile-de-France.</t>
        </is>
      </c>
    </row>
    <row r="52">
      <c r="A52" s="10" t="inlineStr">
        <is>
          <t>ART3F</t>
        </is>
      </c>
      <c r="B52" s="10" t="inlineStr">
        <is>
          <t>https://www.cci-paris-idf.fr/fr/evenements-salons/salons-foires-paris-ile-de-france/art3f</t>
        </is>
      </c>
      <c r="C52" s="10" t="inlineStr">
        <is>
          <t>GATE_2_GRAND_PUBLIC</t>
        </is>
      </c>
      <c r="D52" s="11" t="inlineStr">
        <is>
          <t>Salon grand public (art) sans volet ni journee professionnelle distincte identifiee ; fiche CCI : visitorat ouvert au public.</t>
        </is>
      </c>
    </row>
    <row r="53">
      <c r="A53" s="10" t="inlineStr">
        <is>
          <t>Animal Expo et Animalis Show</t>
        </is>
      </c>
      <c r="B53" s="10" t="inlineStr">
        <is>
          <t>https://www.cci-paris-idf.fr/fr/evenements-salons/salons-foires-paris-ile-de-france/animal-expo-et-animalis-show</t>
        </is>
      </c>
      <c r="C53" s="10" t="inlineStr">
        <is>
          <t>GATE_2_GRAND_PUBLIC</t>
        </is>
      </c>
      <c r="D53" s="11" t="inlineStr">
        <is>
          <t>Salon grand public (tourisme) sans volet ni journee professionnelle distincte identifiee ; fiche CCI : visitorat ouvert au public.</t>
        </is>
      </c>
    </row>
    <row r="54">
      <c r="A54" s="10" t="inlineStr">
        <is>
          <t>Créations &amp; savoir-faire - Aiguille en fête</t>
        </is>
      </c>
      <c r="B54" s="10" t="inlineStr">
        <is>
          <t>https://www.cci-paris-idf.fr/fr/evenements-salons/salons-foires-paris-ile-de-france/creations-savoir-faire-aiguille-en-fete</t>
        </is>
      </c>
      <c r="C54" s="10" t="inlineStr">
        <is>
          <t>GATE_2_GRAND_PUBLIC</t>
        </is>
      </c>
      <c r="D54" s="11" t="inlineStr">
        <is>
          <t>Salon grand public (habitat) sans volet ni journee professionnelle distincte identifiee ; fiche CCI : visitorat ouvert au public.</t>
        </is>
      </c>
    </row>
    <row r="55">
      <c r="A55" s="10" t="inlineStr">
        <is>
          <t>Investir Day</t>
        </is>
      </c>
      <c r="B55" s="10" t="inlineStr">
        <is>
          <t>https://www.cci-paris-idf.fr/fr/evenements-salons/salons-foires-paris-ile-de-france/investir-day</t>
        </is>
      </c>
      <c r="C55" s="10" t="inlineStr">
        <is>
          <t>GATE_2_GRAND_PUBLIC</t>
        </is>
      </c>
      <c r="D55" s="11" t="inlineStr">
        <is>
          <t>Evenement destine aux investisseurs particuliers (epargnants), pas a des entreprises.</t>
        </is>
      </c>
    </row>
    <row r="56">
      <c r="A56" s="10" t="inlineStr">
        <is>
          <t>Journees du Patrimoine Economique 2026</t>
        </is>
      </c>
      <c r="B56" s="10" t="inlineStr">
        <is>
          <t>https://www.medef-idf.fr/journees-du-patrimoine-economique-du-2-au-4-octobre-2026/</t>
        </is>
      </c>
      <c r="C56" s="10" t="inlineStr">
        <is>
          <t>GATE_2_GRAND_PUBLIC</t>
        </is>
      </c>
      <c r="D56" s="11" t="inlineStr">
        <is>
          <t>Operation de portes ouvertes d'entreprises destinee au grand public : le MEDEF Ile-de-France invite les entreprises a ouvrir leurs portes pour faire decouvrir leurs metiers aux particuliers.</t>
        </is>
      </c>
    </row>
    <row r="57">
      <c r="A57" s="10" t="inlineStr">
        <is>
          <t>La Nuit du Droit 2026 (4 octobre)</t>
        </is>
      </c>
      <c r="B57" s="10" t="inlineStr">
        <is>
          <t>https://www.village-justice.com/articles/grands-evenements-juridiques-droit</t>
        </is>
      </c>
      <c r="C57" s="10" t="inlineStr">
        <is>
          <t>GATE_2_GRAND_PUBLIC</t>
        </is>
      </c>
      <c r="D57" s="11" t="inlineStr">
        <is>
          <t>Operation nationale de decouverte du droit par le grand public, organisee simultanement dans de nombreux lieux partout en France : pas d'evenement professionnel unique localisable.</t>
        </is>
      </c>
    </row>
    <row r="58">
      <c r="A58" s="10" t="inlineStr">
        <is>
          <t>Le grand tasting</t>
        </is>
      </c>
      <c r="B58" s="10" t="inlineStr">
        <is>
          <t>https://www.cci-paris-idf.fr/fr/evenements-salons/salons-foires-paris-ile-de-france/le-grand-tasting</t>
        </is>
      </c>
      <c r="C58" s="10" t="inlineStr">
        <is>
          <t>GATE_2_GRAND_PUBLIC</t>
        </is>
      </c>
      <c r="D58" s="11" t="inlineStr">
        <is>
          <t>Salon grand public (alimentation) sans volet ni journee professionnelle distincte identifiee ; fiche CCI : visitorat ouvert au public.</t>
        </is>
      </c>
    </row>
    <row r="59">
      <c r="A59" s="10" t="inlineStr">
        <is>
          <t>Les rencontres du ciel et de l'espace</t>
        </is>
      </c>
      <c r="B59" s="10" t="inlineStr">
        <is>
          <t>https://www.cci-paris-idf.fr/fr/evenements-salons/salons-foires-paris-ile-de-france/les-rencontres-du-ciel-et-de-lespace</t>
        </is>
      </c>
      <c r="C59" s="10" t="inlineStr">
        <is>
          <t>GATE_2_GRAND_PUBLIC</t>
        </is>
      </c>
      <c r="D59" s="11" t="inlineStr">
        <is>
          <t>Salon grand public (art) sans volet ni journee professionnelle distincte identifiee ; fiche CCI : visitorat ouvert au public.</t>
        </is>
      </c>
    </row>
    <row r="60">
      <c r="A60" s="10" t="inlineStr">
        <is>
          <t>MIF EXPO - Le salon du Made in France</t>
        </is>
      </c>
      <c r="B60" s="10" t="inlineStr">
        <is>
          <t>https://www.cci-paris-idf.fr/fr/evenements-salons/salons-foires-paris-ile-de-france/mif-expo-le-salon-du-made-france</t>
        </is>
      </c>
      <c r="C60" s="10" t="inlineStr">
        <is>
          <t>GATE_2_GRAND_PUBLIC</t>
        </is>
      </c>
      <c r="D60" s="11" t="inlineStr">
        <is>
          <t>Salon grand public du Made in France ; presence d'acheteurs professionnels mais aucune journee professionnelle distincte identifiee publiquement au 15/09/2026.</t>
        </is>
      </c>
    </row>
    <row r="61">
      <c r="A61" s="10" t="inlineStr">
        <is>
          <t>Marjolaine le salon bio</t>
        </is>
      </c>
      <c r="B61" s="10" t="inlineStr">
        <is>
          <t>https://www.cci-paris-idf.fr/fr/evenements-salons/salons-foires-paris-ile-de-france/marjolaine-le-salon-bio</t>
        </is>
      </c>
      <c r="C61" s="10" t="inlineStr">
        <is>
          <t>GATE_2_GRAND_PUBLIC</t>
        </is>
      </c>
      <c r="D61" s="11" t="inlineStr">
        <is>
          <t>Salon grand public (environnement et énergie) sans volet ni journee professionnelle distincte identifiee ; fiche CCI : visitorat ouvert au public.</t>
        </is>
      </c>
    </row>
    <row r="62">
      <c r="A62" s="10" t="inlineStr">
        <is>
          <t>Paris AudioVidéo Show</t>
        </is>
      </c>
      <c r="B62" s="10" t="inlineStr">
        <is>
          <t>https://www.cci-paris-idf.fr/fr/evenements-salons/salons-foires-paris-ile-de-france/paris-audiovideo-show</t>
        </is>
      </c>
      <c r="C62" s="10" t="inlineStr">
        <is>
          <t>GATE_2_GRAND_PUBLIC</t>
        </is>
      </c>
      <c r="D62" s="11" t="inlineStr">
        <is>
          <t>Salon grand public (tourisme) sans volet ni journee professionnelle distincte identifiee ; fiche CCI : visitorat ouvert au public.</t>
        </is>
      </c>
    </row>
    <row r="63">
      <c r="A63" s="10" t="inlineStr">
        <is>
          <t>Paris Nautic Show</t>
        </is>
      </c>
      <c r="B63" s="10" t="inlineStr">
        <is>
          <t>https://www.cci-paris-idf.fr/fr/evenements-salons/salons-foires-paris-ile-de-france/paris-nautic-show</t>
        </is>
      </c>
      <c r="C63" s="10" t="inlineStr">
        <is>
          <t>GATE_2_GRAND_PUBLIC</t>
        </is>
      </c>
      <c r="D63" s="11" t="inlineStr">
        <is>
          <t>Salon grand public (tourisme) sans volet ni journee professionnelle distincte identifiee ; fiche CCI : visitorat ouvert au public.</t>
        </is>
      </c>
    </row>
    <row r="64">
      <c r="A64" s="10" t="inlineStr">
        <is>
          <t>Paris games week</t>
        </is>
      </c>
      <c r="B64" s="10" t="inlineStr">
        <is>
          <t>https://www.cci-paris-idf.fr/fr/evenements-salons/salons-foires-paris-ile-de-france/paris-games-week</t>
        </is>
      </c>
      <c r="C64" s="10" t="inlineStr">
        <is>
          <t>GATE_2_GRAND_PUBLIC</t>
        </is>
      </c>
      <c r="D64" s="11" t="inlineStr">
        <is>
          <t>Salon grand public (tourisme) sans volet ni journee professionnelle distincte identifiee ; fiche CCI : visitorat ouvert au public.</t>
        </is>
      </c>
    </row>
    <row r="65">
      <c r="A65" s="10" t="inlineStr">
        <is>
          <t>Paris manga</t>
        </is>
      </c>
      <c r="B65" s="10" t="inlineStr">
        <is>
          <t>https://www.cci-paris-idf.fr/fr/evenements-salons/salons-foires-paris-ile-de-france/paris-manga</t>
        </is>
      </c>
      <c r="C65" s="10" t="inlineStr">
        <is>
          <t>GATE_2_GRAND_PUBLIC</t>
        </is>
      </c>
      <c r="D65" s="11" t="inlineStr">
        <is>
          <t>Salon grand public (art) sans volet ni journee professionnelle distincte identifiee ; fiche CCI : visitorat ouvert au public.</t>
        </is>
      </c>
    </row>
    <row r="66">
      <c r="A66" s="10" t="inlineStr">
        <is>
          <t>Salon BABY Paris</t>
        </is>
      </c>
      <c r="B66" s="10" t="inlineStr">
        <is>
          <t>https://www.cci-paris-idf.fr/fr/evenements-salons/salons-foires-paris-ile-de-france/salon-baby-paris</t>
        </is>
      </c>
      <c r="C66" s="10" t="inlineStr">
        <is>
          <t>GATE_2_GRAND_PUBLIC</t>
        </is>
      </c>
      <c r="D66" s="11" t="inlineStr">
        <is>
          <t>Salon grand public destine aux futurs et jeunes parents ; la fiche CCI le classe a tort 'reserve aux professionnels'.</t>
        </is>
      </c>
    </row>
    <row r="67">
      <c r="A67" s="10" t="inlineStr">
        <is>
          <t>Salon art shopping</t>
        </is>
      </c>
      <c r="B67" s="10" t="inlineStr">
        <is>
          <t>https://www.cci-paris-idf.fr/fr/evenements-salons/salons-foires-paris-ile-de-france/salon-art-shopping</t>
        </is>
      </c>
      <c r="C67" s="10" t="inlineStr">
        <is>
          <t>GATE_2_GRAND_PUBLIC</t>
        </is>
      </c>
      <c r="D67" s="11" t="inlineStr">
        <is>
          <t>Salon grand public (art) sans volet ni journee professionnelle distincte identifiee ; fiche CCI : visitorat ouvert au public.</t>
        </is>
      </c>
    </row>
    <row r="68">
      <c r="A68" s="10" t="inlineStr">
        <is>
          <t>Salon de la photo</t>
        </is>
      </c>
      <c r="B68" s="10" t="inlineStr">
        <is>
          <t>https://www.cci-paris-idf.fr/fr/evenements-salons/salons-foires-paris-ile-de-france/salon-de-la-photo</t>
        </is>
      </c>
      <c r="C68" s="10" t="inlineStr">
        <is>
          <t>GATE_2_GRAND_PUBLIC</t>
        </is>
      </c>
      <c r="D68" s="11" t="inlineStr">
        <is>
          <t>Salon consommateur photo et video ouvert a tous, billetterie grand public a 13 EUR en ligne, sans journee professionnelle distincte identifiee ; la fiche CCI le classe a tort 'reserve aux professionnels'.</t>
        </is>
      </c>
    </row>
    <row r="69">
      <c r="A69" s="10" t="inlineStr">
        <is>
          <t>Salon de la polyarthrite rhumatoïde et des rhumatismes inflammatoires chroniques</t>
        </is>
      </c>
      <c r="B69" s="10" t="inlineStr">
        <is>
          <t>https://www.cci-paris-idf.fr/fr/evenements-salons/salons-foires-paris-ile-de-france/salon-de-la-polyarthrite-rhumatoide-et-des-rhumatismes-inflammatoires-chroniques</t>
        </is>
      </c>
      <c r="C69" s="10" t="inlineStr">
        <is>
          <t>GATE_2_GRAND_PUBLIC</t>
        </is>
      </c>
      <c r="D69" s="11" t="inlineStr">
        <is>
          <t>Evenement d'information destine aux patients, organise par une association de malades (polyarthrite.org) ; la fiche CCI le classe a tort 'reserve aux professionnels'.</t>
        </is>
      </c>
    </row>
    <row r="70">
      <c r="A70" s="10" t="inlineStr">
        <is>
          <t>Salon des vins des vignerons indépendants</t>
        </is>
      </c>
      <c r="B70" s="10" t="inlineStr">
        <is>
          <t>https://www.cci-paris-idf.fr/fr/evenements-salons/salons-foires-paris-ile-de-france/salon-des-vins-des-vignerons-independants</t>
        </is>
      </c>
      <c r="C70" s="10" t="inlineStr">
        <is>
          <t>GATE_2_GRAND_PUBLIC</t>
        </is>
      </c>
      <c r="D70" s="11" t="inlineStr">
        <is>
          <t>Salon grand public (agriculture) sans volet ni journee professionnelle distincte identifiee ; fiche CCI : visitorat ouvert au public.</t>
        </is>
      </c>
    </row>
    <row r="71">
      <c r="A71" s="10" t="inlineStr">
        <is>
          <t>Salon des véhicules de loisirs - Paris</t>
        </is>
      </c>
      <c r="B71" s="10" t="inlineStr">
        <is>
          <t>https://www.cci-paris-idf.fr/fr/evenements-salons/salons-foires-paris-ile-de-france/salon-des-vehicules-de-loisirs-paris</t>
        </is>
      </c>
      <c r="C71" s="10" t="inlineStr">
        <is>
          <t>GATE_2_GRAND_PUBLIC</t>
        </is>
      </c>
      <c r="D71" s="11" t="inlineStr">
        <is>
          <t>Salon grand public (tourisme) sans volet ni journee professionnelle distincte identifiee ; fiche CCI : visitorat ouvert au public.</t>
        </is>
      </c>
    </row>
    <row r="72">
      <c r="A72" s="10" t="inlineStr">
        <is>
          <t>Salon du Bon</t>
        </is>
      </c>
      <c r="B72" s="10" t="inlineStr">
        <is>
          <t>https://www.cci-paris-idf.fr/fr/evenements-salons/salons-foires-paris-ile-de-france/salon-du-bon</t>
        </is>
      </c>
      <c r="C72" s="10" t="inlineStr">
        <is>
          <t>GATE_2_GRAND_PUBLIC</t>
        </is>
      </c>
      <c r="D72" s="11" t="inlineStr">
        <is>
          <t>Salon grand public (alimentation) sans volet ni journee professionnelle distincte identifiee ; fiche CCI : visitorat ouvert au public.</t>
        </is>
      </c>
    </row>
    <row r="73">
      <c r="A73" s="10" t="inlineStr">
        <is>
          <t>Salon du Cheval de Paris</t>
        </is>
      </c>
      <c r="B73" s="10" t="inlineStr">
        <is>
          <t>https://www.cci-paris-idf.fr/fr/evenements-salons/salons-foires-paris-ile-de-france/salon-du-cheval-de-paris</t>
        </is>
      </c>
      <c r="C73" s="10" t="inlineStr">
        <is>
          <t>GATE_2_GRAND_PUBLIC</t>
        </is>
      </c>
      <c r="D73" s="11" t="inlineStr">
        <is>
          <t>Salon grand public (tourisme) sans volet ni journee professionnelle distincte identifiee ; fiche CCI : visitorat ouvert au public.</t>
        </is>
      </c>
    </row>
    <row r="74">
      <c r="A74" s="10" t="inlineStr">
        <is>
          <t>Salon du chocolat Paris</t>
        </is>
      </c>
      <c r="B74" s="10" t="inlineStr">
        <is>
          <t>https://www.cci-paris-idf.fr/fr/evenements-salons/salons-foires-paris-ile-de-france/salon-du-chocolat-paris</t>
        </is>
      </c>
      <c r="C74" s="10" t="inlineStr">
        <is>
          <t>GATE_2_GRAND_PUBLIC</t>
        </is>
      </c>
      <c r="D74" s="11" t="inlineStr">
        <is>
          <t>Salon grand public (alimentation) sans volet ni journee professionnelle distincte identifiee ; fiche CCI : visitorat ouvert au public.</t>
        </is>
      </c>
    </row>
    <row r="75">
      <c r="A75" s="10" t="inlineStr">
        <is>
          <t>Salon du livre et de la presse jeunesse en seine-saint-denis</t>
        </is>
      </c>
      <c r="B75" s="10" t="inlineStr">
        <is>
          <t>https://www.cci-paris-idf.fr/fr/evenements-salons/salons-foires-paris-ile-de-france/salon-du-livre-et-de-la-presse-jeunesse-en-seine-saint-denis</t>
        </is>
      </c>
      <c r="C75" s="10" t="inlineStr">
        <is>
          <t>GATE_2_GRAND_PUBLIC</t>
        </is>
      </c>
      <c r="D75" s="11" t="inlineStr">
        <is>
          <t>Salon grand public (art) sans volet ni journee professionnelle distincte identifiee ; fiche CCI : visitorat ouvert au public.</t>
        </is>
      </c>
    </row>
    <row r="76">
      <c r="A76" s="10" t="inlineStr">
        <is>
          <t>Salon indépendant de la copropriété ARC</t>
        </is>
      </c>
      <c r="B76" s="10" t="inlineStr">
        <is>
          <t>https://www.cci-paris-idf.fr/fr/evenements-salons/salons-foires-paris-ile-de-france/salon-independant-de-la-copropriete-arc</t>
        </is>
      </c>
      <c r="C76" s="10" t="inlineStr">
        <is>
          <t>GATE_2_GRAND_PUBLIC</t>
        </is>
      </c>
      <c r="D76" s="11" t="inlineStr">
        <is>
          <t>Evenement destine aux coproprietaires et aux conseillers syndicaux benevoles, soit des particuliers et non des entreprises.</t>
        </is>
      </c>
    </row>
    <row r="77">
      <c r="A77" s="10" t="inlineStr">
        <is>
          <t>Salon international minéral expo paris</t>
        </is>
      </c>
      <c r="B77" s="10" t="inlineStr">
        <is>
          <t>https://www.cci-paris-idf.fr/fr/evenements-salons/salons-foires-paris-ile-de-france/salon-international-mineral-expo-paris</t>
        </is>
      </c>
      <c r="C77" s="10" t="inlineStr">
        <is>
          <t>GATE_2_GRAND_PUBLIC</t>
        </is>
      </c>
      <c r="D77" s="11" t="inlineStr">
        <is>
          <t>Salon grand public (tourisme) sans volet ni journee professionnelle distincte identifiee ; fiche CCI : visitorat ouvert au public.</t>
        </is>
      </c>
    </row>
    <row r="78">
      <c r="A78" s="10" t="inlineStr">
        <is>
          <t>Salon saveurs des plaisirs gourmands</t>
        </is>
      </c>
      <c r="B78" s="10" t="inlineStr">
        <is>
          <t>https://www.cci-paris-idf.fr/fr/evenements-salons/salons-foires-paris-ile-de-france/salon-saveurs-des-plaisirs-gourmands</t>
        </is>
      </c>
      <c r="C78" s="10" t="inlineStr">
        <is>
          <t>GATE_2_GRAND_PUBLIC</t>
        </is>
      </c>
      <c r="D78" s="11" t="inlineStr">
        <is>
          <t>Salon grand public (alimentation) sans volet ni journee professionnelle distincte identifiee ; fiche CCI : visitorat ouvert au public.</t>
        </is>
      </c>
    </row>
    <row r="79">
      <c r="A79" s="10" t="inlineStr">
        <is>
          <t>Salon zen</t>
        </is>
      </c>
      <c r="B79" s="10" t="inlineStr">
        <is>
          <t>https://www.cci-paris-idf.fr/fr/evenements-salons/salons-foires-paris-ile-de-france/salon-zen</t>
        </is>
      </c>
      <c r="C79" s="10" t="inlineStr">
        <is>
          <t>GATE_2_GRAND_PUBLIC</t>
        </is>
      </c>
      <c r="D79" s="11" t="inlineStr">
        <is>
          <t>Salon grand public (hygiène) sans volet ni journee professionnelle distincte identifiee ; fiche CCI : visitorat ouvert au public.</t>
        </is>
      </c>
    </row>
    <row r="80">
      <c r="A80" s="10" t="inlineStr">
        <is>
          <t>Sina Paris</t>
        </is>
      </c>
      <c r="B80" s="10" t="inlineStr">
        <is>
          <t>https://www.cci-paris-idf.fr/fr/evenements-salons/salons-foires-paris-ile-de-france/sina-paris</t>
        </is>
      </c>
      <c r="C80" s="10" t="inlineStr">
        <is>
          <t>GATE_2_GRAND_PUBLIC</t>
        </is>
      </c>
      <c r="D80" s="11" t="inlineStr">
        <is>
          <t>Salon grand public (immobilier) sans volet ni journee professionnelle distincte identifiee ; fiche CCI : visitorat ouvert au public.</t>
        </is>
      </c>
    </row>
    <row r="81">
      <c r="A81" s="10" t="inlineStr">
        <is>
          <t>Y/CON - Le salon des homo-fictions</t>
        </is>
      </c>
      <c r="B81" s="10" t="inlineStr">
        <is>
          <t>https://www.cci-paris-idf.fr/fr/evenements-salons/salons-foires-paris-ile-de-france/y-con-le-salon-des-homo-fictions</t>
        </is>
      </c>
      <c r="C81" s="10" t="inlineStr">
        <is>
          <t>GATE_2_GRAND_PUBLIC</t>
        </is>
      </c>
      <c r="D81" s="11" t="inlineStr">
        <is>
          <t>Salon grand public (tourisme) sans volet ni journee professionnelle distincte identifiee ; fiche CCI : visitorat ouvert au public.</t>
        </is>
      </c>
    </row>
    <row r="82">
      <c r="A82" s="10" t="inlineStr">
        <is>
          <t>Cafe Entrepreneurs, le rendez-vous des artisans qui demarrent (1er octobre 2026, Paris)</t>
        </is>
      </c>
      <c r="B82" s="10" t="inlineStr">
        <is>
          <t>https://www.cma-idf.fr/actualites-evenements</t>
        </is>
      </c>
      <c r="C82" s="10" t="inlineStr">
        <is>
          <t>GATE_3_SOUS_ICP</t>
        </is>
      </c>
      <c r="D82" s="11" t="inlineStr">
        <is>
          <t>Rendez-vous destine aux artisans en demarrage d'activite, public structurellement sous le plancher ICP.</t>
        </is>
      </c>
    </row>
    <row r="83">
      <c r="A83" s="10" t="inlineStr">
        <is>
          <t>Declic Digit' - cinq ateliers pratiques (IA generative, visuels, cybersecurite)</t>
        </is>
      </c>
      <c r="B83" s="10" t="inlineStr">
        <is>
          <t>https://www.cma-idf.fr/actualites-evenements</t>
        </is>
      </c>
      <c r="C83" s="10" t="inlineStr">
        <is>
          <t>GATE_3_SOUS_ICP</t>
        </is>
      </c>
      <c r="D83" s="11" t="inlineStr">
        <is>
          <t>Ateliers de la CMA Ile-de-France Hauts-de-Seine destines aux artisans, dont les entreprises comptent structurellement moins de 10 salaries. A SIGNALER : theme IA generative, a Nanterre de septembre a decembre 2026.</t>
        </is>
      </c>
    </row>
    <row r="84">
      <c r="A84" s="10" t="inlineStr">
        <is>
          <t>Entreprendre malgré des ressources limitées : des solutions de financement à portée de main</t>
        </is>
      </c>
      <c r="B84" s="10" t="inlineStr">
        <is>
          <t>https://www.entreprises.cci-paris-idf.fr/evenements/entreprendre-malgre-des-ressources-limitees-des-solutions-de-financement-portee-de-0</t>
        </is>
      </c>
      <c r="C84" s="10" t="inlineStr">
        <is>
          <t>GATE_3_SOUS_ICP</t>
        </is>
      </c>
      <c r="D84" s="11" t="inlineStr">
        <is>
          <t>Atelier de financement destine aux porteurs de projet et entrepreneurs a ressources limitees, public sous le plancher ICP.</t>
        </is>
      </c>
    </row>
    <row r="85">
      <c r="A85" s="10" t="inlineStr">
        <is>
          <t>Evénement Orientation Studyrama de Paris</t>
        </is>
      </c>
      <c r="B85" s="10" t="inlineStr">
        <is>
          <t>https://www.cci-paris-idf.fr/fr/evenements-salons/salons-foires-paris-ile-de-france/evenement-orientation-studyrama-de-paris</t>
        </is>
      </c>
      <c r="C85" s="10" t="inlineStr">
        <is>
          <t>GATE_3_SOUS_ICP</t>
        </is>
      </c>
      <c r="D85" s="11" t="inlineStr">
        <is>
          <t>Salon d'orientation et de formation dont le public annonce est constitue d'eleves, d'etudiants et de leurs familles, hors cible entreprise.</t>
        </is>
      </c>
    </row>
    <row r="86">
      <c r="A86" s="10" t="inlineStr">
        <is>
          <t>Forindustrie 2026 : les cartes de la destinee (SEDI)</t>
        </is>
      </c>
      <c r="B86" s="10" t="inlineStr">
        <is>
          <t>https://www.franceindustrie.org/agenda/sedi-forindustrie-2026-les-cartes-de-la-destinee/</t>
        </is>
      </c>
      <c r="C86" s="10" t="inlineStr">
        <is>
          <t>GATE_3_SOUS_ICP</t>
        </is>
      </c>
      <c r="D86" s="11" t="inlineStr">
        <is>
          <t>Jeu pedagogique et immersif du 16 novembre au 4 decembre 2026 destine a faire decouvrir les metiers de l'industrie a des publics scolaires et jeunes.</t>
        </is>
      </c>
    </row>
    <row r="87">
      <c r="A87" s="10" t="inlineStr">
        <is>
          <t>Forum arts &amp; métiers ParisTech</t>
        </is>
      </c>
      <c r="B87" s="10" t="inlineStr">
        <is>
          <t>https://www.cci-paris-idf.fr/fr/evenements-salons/salons-foires-paris-ile-de-france/forum-arts-metiers-paristech</t>
        </is>
      </c>
      <c r="C87" s="10" t="inlineStr">
        <is>
          <t>GATE_3_SOUS_ICP</t>
        </is>
      </c>
      <c r="D87" s="11" t="inlineStr">
        <is>
          <t>Forum de recrutement etudiants-entreprises dont le public visiteur est constitue d'eleves ingenieurs.</t>
        </is>
      </c>
    </row>
    <row r="88">
      <c r="A88" s="10" t="inlineStr">
        <is>
          <t>Forum de l'emploi et découverte des métiers du commerce</t>
        </is>
      </c>
      <c r="B88" s="10" t="inlineStr">
        <is>
          <t>https://www.entreprises.cci-paris-idf.fr/evenements/forum-de-lemploi-et-decouverte-des-metiers-du-commerce</t>
        </is>
      </c>
      <c r="C88" s="10" t="inlineStr">
        <is>
          <t>GATE_3_SOUS_ICP</t>
        </is>
      </c>
      <c r="D88" s="11" t="inlineStr">
        <is>
          <t>Forum emploi et decouverte des metiers dont le public visiteur est constitue de candidats et de jeunes.</t>
        </is>
      </c>
    </row>
    <row r="89">
      <c r="A89" s="10" t="inlineStr">
        <is>
          <t>Forum de recrutement de la semaine de l'intégration</t>
        </is>
      </c>
      <c r="B89" s="10" t="inlineStr">
        <is>
          <t>https://www.entreprises.cci-paris-idf.fr/evenements/forum-entreprises-refugies-recrutez-des-talents</t>
        </is>
      </c>
      <c r="C89" s="10" t="inlineStr">
        <is>
          <t>GATE_3_SOUS_ICP</t>
        </is>
      </c>
      <c r="D89" s="11" t="inlineStr">
        <is>
          <t>Forum de recrutement dont le public visiteur est constitue de candidats. ARBITRAGE DISCUTABLE : entreprises presentes en recruteurs.</t>
        </is>
      </c>
    </row>
    <row r="90">
      <c r="A90" s="10" t="inlineStr">
        <is>
          <t>Forum estp</t>
        </is>
      </c>
      <c r="B90" s="10" t="inlineStr">
        <is>
          <t>https://www.cci-paris-idf.fr/fr/evenements-salons/salons-foires-paris-ile-de-france/forum-estp</t>
        </is>
      </c>
      <c r="C90" s="10" t="inlineStr">
        <is>
          <t>GATE_3_SOUS_ICP</t>
        </is>
      </c>
      <c r="D90" s="11" t="inlineStr">
        <is>
          <t>Forum de recrutement etudiants-entreprises dont le public visiteur est constitue d'etudiants.</t>
        </is>
      </c>
    </row>
    <row r="91">
      <c r="A91" s="10" t="inlineStr">
        <is>
          <t>Forum trium</t>
        </is>
      </c>
      <c r="B91" s="10" t="inlineStr">
        <is>
          <t>https://www.cci-paris-idf.fr/fr/evenements-salons/salons-foires-paris-ile-de-france/forum-trium</t>
        </is>
      </c>
      <c r="C91" s="10" t="inlineStr">
        <is>
          <t>GATE_3_SOUS_ICP</t>
        </is>
      </c>
      <c r="D91" s="11" t="inlineStr">
        <is>
          <t>Forum de recrutement etudiants-entreprises dont le public visiteur est constitue d'etudiants.</t>
        </is>
      </c>
    </row>
    <row r="92">
      <c r="A92" s="10" t="inlineStr">
        <is>
          <t>Jam &amp; Job : L'emploi en harmonie 🎸 Seconde session</t>
        </is>
      </c>
      <c r="B92" s="10" t="inlineStr">
        <is>
          <t>https://www.entreprises.cci-paris-idf.fr/evenements/jam-job-lemploi-en-harmonie-seconde-session</t>
        </is>
      </c>
      <c r="C92" s="10" t="inlineStr">
        <is>
          <t>GATE_3_SOUS_ICP</t>
        </is>
      </c>
      <c r="D92" s="11" t="inlineStr">
        <is>
          <t>Forum emploi dont le public visiteur est constitue de candidats. ARBITRAGE DISCUTABLE : entreprises presentes en recruteurs.</t>
        </is>
      </c>
    </row>
    <row r="93">
      <c r="A93" s="10" t="inlineStr">
        <is>
          <t>Jeunes d'Avenirs Special Rentree x WorldSkills (15 octobre 2026)</t>
        </is>
      </c>
      <c r="B93" s="10" t="inlineStr">
        <is>
          <t>https://groupe-aef.fr/agenda/</t>
        </is>
      </c>
      <c r="C93" s="10" t="inlineStr">
        <is>
          <t>GATE_3_SOUS_ICP</t>
        </is>
      </c>
      <c r="D93" s="11" t="inlineStr">
        <is>
          <t>Evenement d'orientation et d'insertion destine aux jeunes, a Montreuil Expo : public visiteur constitue de jeunes en insertion.</t>
        </is>
      </c>
    </row>
    <row r="94">
      <c r="A94" s="10" t="inlineStr">
        <is>
          <t>Job Matching Numéric'Emploi Ile-de-France</t>
        </is>
      </c>
      <c r="B94" s="10" t="inlineStr">
        <is>
          <t>https://www.agenda-tech.com/events/job-matching-numericemploi-ile-de-france-2026</t>
        </is>
      </c>
      <c r="C94" s="10" t="inlineStr">
        <is>
          <t>GATE_3_SOUS_ICP</t>
        </is>
      </c>
      <c r="D94" s="11" t="inlineStr">
        <is>
          <t>Trois sessions de job matching organisees par Numeum pour rencontrer des candidats aux metiers du numerique : public visiteur constitue de candidats. ARBITRAGE DISCUTABLE, entreprises presentes en recruteurs.</t>
        </is>
      </c>
    </row>
    <row r="95">
      <c r="A95" s="10" t="inlineStr">
        <is>
          <t>Job dating seniors</t>
        </is>
      </c>
      <c r="B95" s="10" t="inlineStr">
        <is>
          <t>https://www.entreprises.cci-paris-idf.fr/evenements/job-dating-seniors</t>
        </is>
      </c>
      <c r="C95" s="10" t="inlineStr">
        <is>
          <t>GATE_3_SOUS_ICP</t>
        </is>
      </c>
      <c r="D95" s="11" t="inlineStr">
        <is>
          <t>Forum emploi dont le public visiteur est constitue de candidats seniors. ARBITRAGE DISCUTABLE : entreprises presentes en recruteurs.</t>
        </is>
      </c>
    </row>
    <row r="96">
      <c r="A96" s="10" t="inlineStr">
        <is>
          <t>Journee Portes Ouvertes 2026 'Et si on parlait artisanat' (CMA Paris)</t>
        </is>
      </c>
      <c r="B96" s="10" t="inlineStr">
        <is>
          <t>https://www.cma-idf.fr/actualites-evenements</t>
        </is>
      </c>
      <c r="C96" s="10" t="inlineStr">
        <is>
          <t>GATE_3_SOUS_ICP</t>
        </is>
      </c>
      <c r="D96" s="11" t="inlineStr">
        <is>
          <t>Portes ouvertes destinees aux chefs d'entreprise artisanale et aux porteurs de projet, public sous le plancher ICP.</t>
        </is>
      </c>
    </row>
    <row r="97">
      <c r="A97" s="10" t="inlineStr">
        <is>
          <t>L'Immanquable des Commerçants</t>
        </is>
      </c>
      <c r="B97" s="10" t="inlineStr">
        <is>
          <t>https://www.entreprises.cci-paris-idf.fr/evenements/limmanquable-des-commercants</t>
        </is>
      </c>
      <c r="C97" s="10" t="inlineStr">
        <is>
          <t>GATE_3_SOUS_ICP</t>
        </is>
      </c>
      <c r="D97" s="11" t="inlineStr">
        <is>
          <t>Public annonce constitue de commercants de proximite, structurellement sous le plancher ICP de 10 salaries. ARBITRAGE DISCUTABLE, coherent avec l'exclusion de Losangexpo (buralistes).</t>
        </is>
      </c>
    </row>
    <row r="98">
      <c r="A98" s="10" t="inlineStr">
        <is>
          <t>La Journée de la Création et de la Reprise d'entreprise</t>
        </is>
      </c>
      <c r="B98" s="10" t="inlineStr">
        <is>
          <t>https://www.entreprises.cci-paris-idf.fr/evenements/la-journee-de-la-creation-et-de-la-reprise-dentreprise</t>
        </is>
      </c>
      <c r="C98" s="10" t="inlineStr">
        <is>
          <t>GATE_3_SOUS_ICP</t>
        </is>
      </c>
      <c r="D98" s="11" t="inlineStr">
        <is>
          <t>Evenement dedie aux createurs et repreneurs d'entreprise, public structurellement sous le plancher ICP de 10 salaries.</t>
        </is>
      </c>
    </row>
    <row r="99">
      <c r="A99" s="10" t="inlineStr">
        <is>
          <t>La Nuit de l'Orientation spéciale séniors en reconversion</t>
        </is>
      </c>
      <c r="B99" s="10" t="inlineStr">
        <is>
          <t>https://www.entreprises.cci-paris-idf.fr/evenements/la-nuit-de-lorientation-speciale-seniors-en-reconversion</t>
        </is>
      </c>
      <c r="C99" s="10" t="inlineStr">
        <is>
          <t>GATE_3_SOUS_ICP</t>
        </is>
      </c>
      <c r="D99" s="11" t="inlineStr">
        <is>
          <t>Evenement d'orientation destine a des particuliers seniors en reconversion professionnelle.</t>
        </is>
      </c>
    </row>
    <row r="100">
      <c r="A100" s="10" t="inlineStr">
        <is>
          <t>La Quinzaine de l'Emploi en Ile-de-France</t>
        </is>
      </c>
      <c r="B100" s="10" t="inlineStr">
        <is>
          <t>https://www.entreprises.cci-paris-idf.fr/evenements/la-quinzaine-de-lemploi-en-ile-de-france</t>
        </is>
      </c>
      <c r="C100" s="10" t="inlineStr">
        <is>
          <t>GATE_3_SOUS_ICP</t>
        </is>
      </c>
      <c r="D100" s="11" t="inlineStr">
        <is>
          <t>Operation emploi dont le public visiteur annonce est constitue de demandeurs d'emploi ; les entreprises n'y sont presentes qu'en recruteurs. ARBITRAGE DISCUTABLE : a rebasculer si l'utilisateur veut cibler les DRH presents.</t>
        </is>
      </c>
    </row>
    <row r="101">
      <c r="A101" s="10" t="inlineStr">
        <is>
          <t>Le Grand Salon des Grandes Ecoles (6-8 novembre 2026)</t>
        </is>
      </c>
      <c r="B101" s="10" t="inlineStr">
        <is>
          <t>https://www.grand-salon-grandes-ecoles.com/</t>
        </is>
      </c>
      <c r="C101" s="10" t="inlineStr">
        <is>
          <t>GATE_3_SOUS_ICP</t>
        </is>
      </c>
      <c r="D101" s="11" t="inlineStr">
        <is>
          <t>Salon d'orientation destine aux lyceens, etudiants et familles, au Carreau du Temple (Paris 3e).</t>
        </is>
      </c>
    </row>
    <row r="102">
      <c r="A102" s="10" t="inlineStr">
        <is>
          <t>Le Salon de l'Etudiant étudier à l'étranger à Paris</t>
        </is>
      </c>
      <c r="B102" s="10" t="inlineStr">
        <is>
          <t>https://www.cci-paris-idf.fr/fr/evenements-salons/salons-foires-paris-ile-de-france/le-salon-de-letudiant-etudier-letranger-paris</t>
        </is>
      </c>
      <c r="C102" s="10" t="inlineStr">
        <is>
          <t>GATE_3_SOUS_ICP</t>
        </is>
      </c>
      <c r="D102" s="11" t="inlineStr">
        <is>
          <t>Salon d'orientation et de formation dont le public annonce est constitue d'eleves, d'etudiants et de leurs familles, hors cible entreprise.</t>
        </is>
      </c>
    </row>
    <row r="103">
      <c r="A103" s="10" t="inlineStr">
        <is>
          <t>Le Salon de l'orientation, de la formation et des métiers à Paris</t>
        </is>
      </c>
      <c r="B103" s="10" t="inlineStr">
        <is>
          <t>https://www.cci-paris-idf.fr/fr/evenements-salons/salons-foires-paris-ile-de-france/le-salon-de-lorientation-de-la-formation-et-des-metiers-paris</t>
        </is>
      </c>
      <c r="C103" s="10" t="inlineStr">
        <is>
          <t>GATE_3_SOUS_ICP</t>
        </is>
      </c>
      <c r="D103" s="11" t="inlineStr">
        <is>
          <t>Salon d'orientation et de formation dont le public annonce est constitue d'eleves, d'etudiants et de leurs familles, hors cible entreprise.</t>
        </is>
      </c>
    </row>
    <row r="104">
      <c r="A104" s="10" t="inlineStr">
        <is>
          <t>Le grand RDV de l'alternance à Paris</t>
        </is>
      </c>
      <c r="B104" s="10" t="inlineStr">
        <is>
          <t>https://www.cci-paris-idf.fr/fr/evenements-salons/salons-foires-paris-ile-de-france/le-grand-rdv-de-lalternance-paris</t>
        </is>
      </c>
      <c r="C104" s="10" t="inlineStr">
        <is>
          <t>GATE_3_SOUS_ICP</t>
        </is>
      </c>
      <c r="D104" s="11" t="inlineStr">
        <is>
          <t>Evenement destine aux jeunes en recherche d'alternance et de formation, public etudiant.</t>
        </is>
      </c>
    </row>
    <row r="105">
      <c r="A105" s="10" t="inlineStr">
        <is>
          <t>Les rencontres Handi’capables &amp; les Rencontres Atouts Seniors</t>
        </is>
      </c>
      <c r="B105" s="10" t="inlineStr">
        <is>
          <t>https://www.entreprises.cci-paris-idf.fr/evenements/jobs-dating-rencontres-handi-capables-et-atouts-seniors</t>
        </is>
      </c>
      <c r="C105" s="10" t="inlineStr">
        <is>
          <t>GATE_3_SOUS_ICP</t>
        </is>
      </c>
      <c r="D105" s="11" t="inlineStr">
        <is>
          <t>Rencontres emploi dont le public visiteur est constitue de candidats en situation de handicap et de seniors.</t>
        </is>
      </c>
    </row>
    <row r="106">
      <c r="A106" s="10" t="inlineStr">
        <is>
          <t>Losangexpo (salon des buralistes)</t>
        </is>
      </c>
      <c r="B106" s="10" t="inlineStr">
        <is>
          <t>https://www.cci-paris-idf.fr/fr/evenements-salons/salons-foires-paris-ile-de-france/losangexpo</t>
        </is>
      </c>
      <c r="C106" s="10" t="inlineStr">
        <is>
          <t>GATE_3_SOUS_ICP</t>
        </is>
      </c>
      <c r="D106" s="11" t="inlineStr">
        <is>
          <t>Public annonce constitue de buralistes, commercants independants dont les points de vente comptent structurellement moins de 10 salaries. ARBITRAGE DISCUTABLE : le salon reunit aussi des fournisseurs et des fabricants, a rebasculer si l'utilisateur juge la cible pertinente.</t>
        </is>
      </c>
    </row>
    <row r="107">
      <c r="A107" s="10" t="inlineStr">
        <is>
          <t>Mois de la Transmission 2026 (CMA Ile-de-France)</t>
        </is>
      </c>
      <c r="B107" s="10" t="inlineStr">
        <is>
          <t>https://www.cma-idf.fr/actualites-evenements</t>
        </is>
      </c>
      <c r="C107" s="10" t="inlineStr">
        <is>
          <t>GATE_3_SOUS_ICP</t>
        </is>
      </c>
      <c r="D107" s="11" t="inlineStr">
        <is>
          <t>Operation de la CMA destinee aux artisans cedants et repreneurs, public structurellement sous le plancher ICP.</t>
        </is>
      </c>
    </row>
    <row r="108">
      <c r="A108" s="10" t="inlineStr">
        <is>
          <t>Prix Jean Monnet pour la Jeunesse 2026 (ceremonie)</t>
        </is>
      </c>
      <c r="B108" s="10" t="inlineStr">
        <is>
          <t>https://www.franceindustrie.org/agenda/</t>
        </is>
      </c>
      <c r="C108" s="10" t="inlineStr">
        <is>
          <t>GATE_3_SOUS_ICP</t>
        </is>
      </c>
      <c r="D108" s="11" t="inlineStr">
        <is>
          <t>Ceremonie de prix destinee a la jeunesse ; lieu non communique par l'organisateur au 15/09/2026.</t>
        </is>
      </c>
    </row>
    <row r="109">
      <c r="A109" s="10" t="inlineStr">
        <is>
          <t>Reunion d'information retraite des dirigeants et artisans des Hauts-de-Seine (13 octobre 2026, Nanterre)</t>
        </is>
      </c>
      <c r="B109" s="10" t="inlineStr">
        <is>
          <t>https://www.cma-idf.fr/actualites-evenements</t>
        </is>
      </c>
      <c r="C109" s="10" t="inlineStr">
        <is>
          <t>GATE_3_SOUS_ICP</t>
        </is>
      </c>
      <c r="D109" s="11" t="inlineStr">
        <is>
          <t>Reunion de la CMA destinee aux artisans, public structurellement sous le plancher ICP de 10 salaries.</t>
        </is>
      </c>
    </row>
    <row r="110">
      <c r="A110" s="10" t="inlineStr">
        <is>
          <t>START le salon des formations artistiques</t>
        </is>
      </c>
      <c r="B110" s="10" t="inlineStr">
        <is>
          <t>https://www.cci-paris-idf.fr/fr/evenements-salons/salons-foires-paris-ile-de-france/start-le-salon-des-formations-artistiques</t>
        </is>
      </c>
      <c r="C110" s="10" t="inlineStr">
        <is>
          <t>GATE_3_SOUS_ICP</t>
        </is>
      </c>
      <c r="D110" s="11" t="inlineStr">
        <is>
          <t>Salon d'orientation et de formation dont le public annonce est constitue d'eleves, d'etudiants et de leurs familles, hors cible entreprise.</t>
        </is>
      </c>
    </row>
    <row r="111">
      <c r="A111" s="10" t="inlineStr">
        <is>
          <t>Salon Accès aux Etudes Médicales / MMOPK (Médecine, Maïeutique, Odontologie, Pharmacie, Kinésithérapie)</t>
        </is>
      </c>
      <c r="B111" s="10" t="inlineStr">
        <is>
          <t>https://www.cci-paris-idf.fr/fr/evenements-salons/salons-foires-paris-ile-de-france/salon-acces-aux-etudes-medicales-mmopk-medecine-maieutique-odontologie-pharmacie-kinesitherapie</t>
        </is>
      </c>
      <c r="C111" s="10" t="inlineStr">
        <is>
          <t>GATE_3_SOUS_ICP</t>
        </is>
      </c>
      <c r="D111" s="11" t="inlineStr">
        <is>
          <t>Salon d'orientation et de formation dont le public annonce est constitue d'eleves, d'etudiants et de leurs familles, hors cible entreprise.</t>
        </is>
      </c>
    </row>
    <row r="112">
      <c r="A112" s="10" t="inlineStr">
        <is>
          <t>Salon Européen de l'éducation</t>
        </is>
      </c>
      <c r="B112" s="10" t="inlineStr">
        <is>
          <t>https://www.cci-paris-idf.fr/fr/evenements-salons/salons-foires-paris-ile-de-france/salon-europeen-de-leducation</t>
        </is>
      </c>
      <c r="C112" s="10" t="inlineStr">
        <is>
          <t>GATE_3_SOUS_ICP</t>
        </is>
      </c>
      <c r="D112" s="11" t="inlineStr">
        <is>
          <t>Salon d'orientation et de formation dont le public annonce est constitue d'eleves, d'etudiants et de leurs familles, hors cible entreprise.</t>
        </is>
      </c>
    </row>
    <row r="113">
      <c r="A113" s="10" t="inlineStr">
        <is>
          <t>Salon Figaro Étudiant Post Bac</t>
        </is>
      </c>
      <c r="B113" s="10" t="inlineStr">
        <is>
          <t>https://www.cci-paris-idf.fr/fr/evenements-salons/salons-foires-paris-ile-de-france/salon-figaro-etudiant-post-bac</t>
        </is>
      </c>
      <c r="C113" s="10" t="inlineStr">
        <is>
          <t>GATE_3_SOUS_ICP</t>
        </is>
      </c>
      <c r="D113" s="11" t="inlineStr">
        <is>
          <t>Salon d'orientation et de formation dont le public annonce est constitue d'eleves, d'etudiants et de leurs familles, hors cible entreprise.</t>
        </is>
      </c>
    </row>
    <row r="114">
      <c r="A114" s="10" t="inlineStr">
        <is>
          <t>Salon SME (Solutions pour Mon Entreprise)</t>
        </is>
      </c>
      <c r="B114" s="10" t="inlineStr">
        <is>
          <t>https://www.cci-paris-idf.fr/fr/evenements-salons/salons-foires-paris-ile-de-france/salon-sme-solutions-pour-mon-entreprise</t>
        </is>
      </c>
      <c r="C114" s="10" t="inlineStr">
        <is>
          <t>GATE_3_SOUS_ICP</t>
        </is>
      </c>
      <c r="D114" s="11" t="inlineStr">
        <is>
          <t>Public annonce explicitement centre sur les independants, les createurs d'entreprise et les tres petites entreprises, structurellement sous le plancher ICP de 10 salaries.</t>
        </is>
      </c>
    </row>
    <row r="115">
      <c r="A115" s="10" t="inlineStr">
        <is>
          <t>Salon Studyrama de la Réorientation (rentrée décalée) de Paris</t>
        </is>
      </c>
      <c r="B115" s="10" t="inlineStr">
        <is>
          <t>https://www.cci-paris-idf.fr/fr/evenements-salons/salons-foires-paris-ile-de-france/salon-studyrama-de-la-reorientation-rentree-decalee-de-paris</t>
        </is>
      </c>
      <c r="C115" s="10" t="inlineStr">
        <is>
          <t>GATE_3_SOUS_ICP</t>
        </is>
      </c>
      <c r="D115" s="11" t="inlineStr">
        <is>
          <t>Salon d'orientation et de formation dont le public annonce est constitue d'eleves, d'etudiants et de leurs familles, hors cible entreprise.</t>
        </is>
      </c>
    </row>
    <row r="116">
      <c r="A116" s="10" t="inlineStr">
        <is>
          <t>Salon Studyrama des Formations Art, Mode, Design &amp; Jeux Vidéo</t>
        </is>
      </c>
      <c r="B116" s="10" t="inlineStr">
        <is>
          <t>https://www.cci-paris-idf.fr/fr/evenements-salons/salons-foires-paris-ile-de-france/salon-studyrama-des-formations-art-mode-design-jeux-video</t>
        </is>
      </c>
      <c r="C116" s="10" t="inlineStr">
        <is>
          <t>GATE_3_SOUS_ICP</t>
        </is>
      </c>
      <c r="D116" s="11" t="inlineStr">
        <is>
          <t>Salon d'orientation et de formation dont le public annonce est constitue d'eleves, d'etudiants et de leurs familles, hors cible entreprise.</t>
        </is>
      </c>
    </row>
    <row r="117">
      <c r="A117" s="10" t="inlineStr">
        <is>
          <t>Salon Studyrama des Formations du Numérique Informatique, IA &amp; Cybersécurité</t>
        </is>
      </c>
      <c r="B117" s="10" t="inlineStr">
        <is>
          <t>https://www.cci-paris-idf.fr/fr/evenements-salons/salons-foires-paris-ile-de-france/salon-studyrama-des-formations-du-numerique-informatique-ia-cybersecurite</t>
        </is>
      </c>
      <c r="C117" s="10" t="inlineStr">
        <is>
          <t>GATE_3_SOUS_ICP</t>
        </is>
      </c>
      <c r="D117" s="11" t="inlineStr">
        <is>
          <t>Salon d'orientation et de formation dont le public annonce est constitue d'eleves, d'etudiants et de leurs familles, hors cible entreprise.</t>
        </is>
      </c>
    </row>
    <row r="118">
      <c r="A118" s="10" t="inlineStr">
        <is>
          <t>Salon Studyrama des Formations en Agroalimentaire, Transition Ecologique &amp; Energie de Paris</t>
        </is>
      </c>
      <c r="B118" s="10" t="inlineStr">
        <is>
          <t>https://www.cci-paris-idf.fr/fr/evenements-salons/salons-foires-paris-ile-de-france/salon-studyrama-des-formations-en-agroalimentaire-transition-ecologique-energie-de-paris</t>
        </is>
      </c>
      <c r="C118" s="10" t="inlineStr">
        <is>
          <t>GATE_3_SOUS_ICP</t>
        </is>
      </c>
      <c r="D118" s="11" t="inlineStr">
        <is>
          <t>Salon d'orientation et de formation dont le public annonce est constitue d'eleves, d'etudiants et de leurs familles, hors cible entreprise.</t>
        </is>
      </c>
    </row>
    <row r="119">
      <c r="A119" s="10" t="inlineStr">
        <is>
          <t>Salon Studyrama des Formations en droit, RH et psychologie - Paris</t>
        </is>
      </c>
      <c r="B119" s="10" t="inlineStr">
        <is>
          <t>https://www.cci-paris-idf.fr/fr/evenements-salons/salons-foires-paris-ile-de-france/salon-studyrama-des-formations-en-droit-rh-et-psychologie-paris</t>
        </is>
      </c>
      <c r="C119" s="10" t="inlineStr">
        <is>
          <t>GATE_3_SOUS_ICP</t>
        </is>
      </c>
      <c r="D119" s="11" t="inlineStr">
        <is>
          <t>Salon d'orientation et de formation dont le public annonce est constitue d'eleves, d'etudiants et de leurs familles, hors cible entreprise.</t>
        </is>
      </c>
    </row>
    <row r="120">
      <c r="A120" s="10" t="inlineStr">
        <is>
          <t>Salon Studyrama des formations Banque, Assurance, Comptabilité et Gestion</t>
        </is>
      </c>
      <c r="B120" s="10" t="inlineStr">
        <is>
          <t>https://www.cci-paris-idf.fr/fr/evenements-salons/salons-foires-paris-ile-de-france/salon-studyrama-des-formations-banque-assurance-comptabilite-et-gestion</t>
        </is>
      </c>
      <c r="C120" s="10" t="inlineStr">
        <is>
          <t>GATE_3_SOUS_ICP</t>
        </is>
      </c>
      <c r="D120" s="11" t="inlineStr">
        <is>
          <t>Salon d'orientation et de formation dont le public annonce est constitue d'eleves, d'etudiants et de leurs familles, hors cible entreprise.</t>
        </is>
      </c>
    </row>
    <row r="121">
      <c r="A121" s="10" t="inlineStr">
        <is>
          <t>Salon Studyrama des parents</t>
        </is>
      </c>
      <c r="B121" s="10" t="inlineStr">
        <is>
          <t>https://www.cci-paris-idf.fr/fr/evenements-salons/salons-foires-paris-ile-de-france/salon-studyrama-des-parents</t>
        </is>
      </c>
      <c r="C121" s="10" t="inlineStr">
        <is>
          <t>GATE_3_SOUS_ICP</t>
        </is>
      </c>
      <c r="D121" s="11" t="inlineStr">
        <is>
          <t>Salon d'orientation et de formation dont le public annonce est constitue d'eleves, d'etudiants et de leurs familles, hors cible entreprise.</t>
        </is>
      </c>
    </row>
    <row r="122">
      <c r="A122" s="10" t="inlineStr">
        <is>
          <t>Salon de l'Etudiant esthétique et bien-être à Paris</t>
        </is>
      </c>
      <c r="B122" s="10" t="inlineStr">
        <is>
          <t>https://www.cci-paris-idf.fr/fr/evenements-salons/salons-foires-paris-ile-de-france/salon-de-letudiant-esthetique-et-bien-etre-paris</t>
        </is>
      </c>
      <c r="C122" s="10" t="inlineStr">
        <is>
          <t>GATE_3_SOUS_ICP</t>
        </is>
      </c>
      <c r="D122" s="11" t="inlineStr">
        <is>
          <t>Salon d'orientation et de formation dont le public annonce est constitue d'eleves, d'etudiants et de leurs familles, hors cible entreprise.</t>
        </is>
      </c>
    </row>
    <row r="123">
      <c r="A123" s="10" t="inlineStr">
        <is>
          <t>Salon de l'orientation ONISEP</t>
        </is>
      </c>
      <c r="B123" s="10" t="inlineStr">
        <is>
          <t>https://www.cci-paris-idf.fr/fr/evenements-salons/salons-foires-paris-ile-de-france/salon-de-lorientation-onisep</t>
        </is>
      </c>
      <c r="C123" s="10" t="inlineStr">
        <is>
          <t>GATE_3_SOUS_ICP</t>
        </is>
      </c>
      <c r="D123" s="11" t="inlineStr">
        <is>
          <t>Salon d'orientation et de formation dont le public annonce est constitue d'eleves, d'etudiants et de leurs familles, hors cible entreprise.</t>
        </is>
      </c>
    </row>
    <row r="124">
      <c r="A124" s="10" t="inlineStr">
        <is>
          <t>Salon de l'orientation des jeunes</t>
        </is>
      </c>
      <c r="B124" s="10" t="inlineStr">
        <is>
          <t>https://www.cci-paris-idf.fr/fr/evenements-salons/salons-foires-paris-ile-de-france/salon-de-lorientation-des-jeunes</t>
        </is>
      </c>
      <c r="C124" s="10" t="inlineStr">
        <is>
          <t>GATE_3_SOUS_ICP</t>
        </is>
      </c>
      <c r="D124" s="11" t="inlineStr">
        <is>
          <t>Salon d'orientation et de formation dont le public annonce est constitue d'eleves, d'etudiants et de leurs familles, hors cible entreprise.</t>
        </is>
      </c>
    </row>
    <row r="125">
      <c r="A125" s="10" t="inlineStr">
        <is>
          <t>Salon de l'étudiant concours et prépas</t>
        </is>
      </c>
      <c r="B125" s="10" t="inlineStr">
        <is>
          <t>https://www.cci-paris-idf.fr/fr/evenements-salons/salons-foires-paris-ile-de-france/salon-de-letudiant-concours-et-prepas</t>
        </is>
      </c>
      <c r="C125" s="10" t="inlineStr">
        <is>
          <t>GATE_3_SOUS_ICP</t>
        </is>
      </c>
      <c r="D125" s="11" t="inlineStr">
        <is>
          <t>Salon d'orientation et de formation dont le public annonce est constitue d'eleves, d'etudiants et de leurs familles, hors cible entreprise.</t>
        </is>
      </c>
    </row>
    <row r="126">
      <c r="A126" s="10" t="inlineStr">
        <is>
          <t>Salon de l'étudiant formations et métiers artistiques à Paris</t>
        </is>
      </c>
      <c r="B126" s="10" t="inlineStr">
        <is>
          <t>https://www.cci-paris-idf.fr/fr/evenements-salons/salons-foires-paris-ile-de-france/salon-de-letudiant-formations-et-metiers-artistiques-paris</t>
        </is>
      </c>
      <c r="C126" s="10" t="inlineStr">
        <is>
          <t>GATE_3_SOUS_ICP</t>
        </is>
      </c>
      <c r="D126" s="11" t="inlineStr">
        <is>
          <t>Salon d'orientation et de formation dont le public annonce est constitue d'eleves, d'etudiants et de leurs familles, hors cible entreprise.</t>
        </is>
      </c>
    </row>
    <row r="127">
      <c r="A127" s="10" t="inlineStr">
        <is>
          <t>Salon de l'étudiant jeux vidéo et cinéma d'animation</t>
        </is>
      </c>
      <c r="B127" s="10" t="inlineStr">
        <is>
          <t>https://www.cci-paris-idf.fr/fr/evenements-salons/salons-foires-paris-ile-de-france/salon-de-letudiant-jeux-video-et-cinema-danimation</t>
        </is>
      </c>
      <c r="C127" s="10" t="inlineStr">
        <is>
          <t>GATE_3_SOUS_ICP</t>
        </is>
      </c>
      <c r="D127" s="11" t="inlineStr">
        <is>
          <t>Salon d'orientation et de formation dont le public annonce est constitue d'eleves, d'etudiants et de leurs familles, hors cible entreprise.</t>
        </is>
      </c>
    </row>
    <row r="128">
      <c r="A128" s="10" t="inlineStr">
        <is>
          <t>Salon de l'étudiant luxe, mode et design à Paris</t>
        </is>
      </c>
      <c r="B128" s="10" t="inlineStr">
        <is>
          <t>https://www.cci-paris-idf.fr/fr/evenements-salons/salons-foires-paris-ile-de-france/salon-de-letudiant-luxe-mode-et-design-paris</t>
        </is>
      </c>
      <c r="C128" s="10" t="inlineStr">
        <is>
          <t>GATE_3_SOUS_ICP</t>
        </is>
      </c>
      <c r="D128" s="11" t="inlineStr">
        <is>
          <t>Salon d'orientation et de formation dont le public annonce est constitue d'eleves, d'etudiants et de leurs familles, hors cible entreprise.</t>
        </is>
      </c>
    </row>
    <row r="129">
      <c r="A129" s="10" t="inlineStr">
        <is>
          <t>Salon de l'étudiant numérique, informatique, cyber-sécurité et IA</t>
        </is>
      </c>
      <c r="B129" s="10" t="inlineStr">
        <is>
          <t>https://www.cci-paris-idf.fr/fr/evenements-salons/salons-foires-paris-ile-de-france/salon-de-letudiant-numerique-informatique-cyber-securite-et-ia</t>
        </is>
      </c>
      <c r="C129" s="10" t="inlineStr">
        <is>
          <t>GATE_3_SOUS_ICP</t>
        </is>
      </c>
      <c r="D129" s="11" t="inlineStr">
        <is>
          <t>Salon d'orientation et de formation dont le public annonce est constitue d'eleves, d'etudiants et de leurs familles, hors cible entreprise.</t>
        </is>
      </c>
    </row>
    <row r="130">
      <c r="A130" s="10" t="inlineStr">
        <is>
          <t>Salon de l'étudiant santé, social et paramédical et sport</t>
        </is>
      </c>
      <c r="B130" s="10" t="inlineStr">
        <is>
          <t>https://www.cci-paris-idf.fr/fr/evenements-salons/salons-foires-paris-ile-de-france/salon-de-letudiant-sante-social-et-paramedical-et-sport</t>
        </is>
      </c>
      <c r="C130" s="10" t="inlineStr">
        <is>
          <t>GATE_3_SOUS_ICP</t>
        </is>
      </c>
      <c r="D130" s="11" t="inlineStr">
        <is>
          <t>Salon d'orientation et de formation dont le public annonce est constitue d'eleves, d'etudiants et de leurs familles, hors cible entreprise.</t>
        </is>
      </c>
    </row>
    <row r="131">
      <c r="A131" s="10" t="inlineStr">
        <is>
          <t>Salon de l'étudiant tourisme, hôtellerie et restauration à Paris</t>
        </is>
      </c>
      <c r="B131" s="10" t="inlineStr">
        <is>
          <t>https://www.cci-paris-idf.fr/fr/evenements-salons/salons-foires-paris-ile-de-france/salon-de-letudiant-tourisme-hotellerie-et-restauration-paris</t>
        </is>
      </c>
      <c r="C131" s="10" t="inlineStr">
        <is>
          <t>GATE_3_SOUS_ICP</t>
        </is>
      </c>
      <c r="D131" s="11" t="inlineStr">
        <is>
          <t>Salon d'orientation et de formation dont le public annonce est constitue d'eleves, d'etudiants et de leurs familles, hors cible entreprise.</t>
        </is>
      </c>
    </row>
    <row r="132">
      <c r="A132" s="10" t="inlineStr">
        <is>
          <t>Salon de l'étudiant à Paris</t>
        </is>
      </c>
      <c r="B132" s="10" t="inlineStr">
        <is>
          <t>https://www.cci-paris-idf.fr/fr/evenements-salons/salons-foires-paris-ile-de-france/salon-de-letudiant-paris</t>
        </is>
      </c>
      <c r="C132" s="10" t="inlineStr">
        <is>
          <t>GATE_3_SOUS_ICP</t>
        </is>
      </c>
      <c r="D132" s="11" t="inlineStr">
        <is>
          <t>Salon d'orientation et de formation dont le public annonce est constitue d'eleves, d'etudiants et de leurs familles, hors cible entreprise.</t>
        </is>
      </c>
    </row>
    <row r="133">
      <c r="A133" s="10" t="inlineStr">
        <is>
          <t>Salon l'étudiant droit, finance et RH - Paris</t>
        </is>
      </c>
      <c r="B133" s="10" t="inlineStr">
        <is>
          <t>https://www.cci-paris-idf.fr/fr/evenements-salons/salons-foires-paris-ile-de-france/salon-letudiant-droit-finance-et-rh-paris</t>
        </is>
      </c>
      <c r="C133" s="10" t="inlineStr">
        <is>
          <t>GATE_3_SOUS_ICP</t>
        </is>
      </c>
      <c r="D133" s="11" t="inlineStr">
        <is>
          <t>Salon d'orientation et de formation dont le public annonce est constitue d'eleves, d'etudiants et de leurs familles, hors cible entreprise.</t>
        </is>
      </c>
    </row>
    <row r="134">
      <c r="A134" s="10" t="inlineStr">
        <is>
          <t>Salon l'étudiant grandes écoles</t>
        </is>
      </c>
      <c r="B134" s="10" t="inlineStr">
        <is>
          <t>https://www.cci-paris-idf.fr/fr/evenements-salons/salons-foires-paris-ile-de-france/salon-letudiant-grandes-ecoles</t>
        </is>
      </c>
      <c r="C134" s="10" t="inlineStr">
        <is>
          <t>GATE_3_SOUS_ICP</t>
        </is>
      </c>
      <c r="D134" s="11" t="inlineStr">
        <is>
          <t>Salon d'orientation et de formation dont le public annonce est constitue d'eleves, d'etudiants et de leurs familles, hors cible entreprise.</t>
        </is>
      </c>
    </row>
    <row r="135">
      <c r="A135" s="10" t="inlineStr">
        <is>
          <t>Salon l'étudiant journalisme, marketing et communication - Paris</t>
        </is>
      </c>
      <c r="B135" s="10" t="inlineStr">
        <is>
          <t>https://www.cci-paris-idf.fr/fr/evenements-salons/salons-foires-paris-ile-de-france/salon-letudiant-journalisme-marketing-et-communication-paris</t>
        </is>
      </c>
      <c r="C135" s="10" t="inlineStr">
        <is>
          <t>GATE_3_SOUS_ICP</t>
        </is>
      </c>
      <c r="D135" s="11" t="inlineStr">
        <is>
          <t>Salon d'orientation et de formation dont le public annonce est constitue d'eleves, d'etudiants et de leurs familles, hors cible entreprise.</t>
        </is>
      </c>
    </row>
    <row r="136">
      <c r="A136" s="10" t="inlineStr">
        <is>
          <t>Salon nouvelle vie professionnelle</t>
        </is>
      </c>
      <c r="B136" s="10" t="inlineStr">
        <is>
          <t>https://www.cci-paris-idf.fr/fr/evenements-salons/salons-foires-paris-ile-de-france/salon-nouvelle-vie-professionnelle</t>
        </is>
      </c>
      <c r="C136" s="10" t="inlineStr">
        <is>
          <t>GATE_3_SOUS_ICP</t>
        </is>
      </c>
      <c r="D136" s="11" t="inlineStr">
        <is>
          <t>Evenement destine aux particuliers en reconversion professionnelle et aux porteurs de projet individuels.</t>
        </is>
      </c>
    </row>
    <row r="137">
      <c r="A137" s="10" t="inlineStr">
        <is>
          <t>Salon studyrama des 1ères &amp; Terminales</t>
        </is>
      </c>
      <c r="B137" s="10" t="inlineStr">
        <is>
          <t>https://www.cci-paris-idf.fr/fr/evenements-salons/salons-foires-paris-ile-de-france/salon-studyrama-des-1eres-terminales</t>
        </is>
      </c>
      <c r="C137" s="10" t="inlineStr">
        <is>
          <t>GATE_3_SOUS_ICP</t>
        </is>
      </c>
      <c r="D137" s="11" t="inlineStr">
        <is>
          <t>Salon d'orientation et de formation dont le public annonce est constitue d'eleves, d'etudiants et de leurs familles, hors cible entreprise.</t>
        </is>
      </c>
    </row>
    <row r="138">
      <c r="A138" s="10" t="inlineStr">
        <is>
          <t>Salon studyrama des formations commerciales, marketing, communication, journalisme &amp; réseaux sociaux</t>
        </is>
      </c>
      <c r="B138" s="10" t="inlineStr">
        <is>
          <t>https://www.cci-paris-idf.fr/fr/evenements-salons/salons-foires-paris-ile-de-france/salon-studyrama-des-formations-commerciales-marketing-communication-journalisme-reseaux-sociaux</t>
        </is>
      </c>
      <c r="C138" s="10" t="inlineStr">
        <is>
          <t>GATE_3_SOUS_ICP</t>
        </is>
      </c>
      <c r="D138" s="11" t="inlineStr">
        <is>
          <t>Salon d'orientation et de formation dont le public annonce est constitue d'eleves, d'etudiants et de leurs familles, hors cible entreprise.</t>
        </is>
      </c>
    </row>
    <row r="139">
      <c r="A139" s="10" t="inlineStr">
        <is>
          <t>Salon studyrama des formations de l'audiovisuel et du cinéma</t>
        </is>
      </c>
      <c r="B139" s="10" t="inlineStr">
        <is>
          <t>https://www.cci-paris-idf.fr/fr/evenements-salons/salons-foires-paris-ile-de-france/salon-studyrama-des-formations-de-laudiovisuel-et-du-cinema</t>
        </is>
      </c>
      <c r="C139" s="10" t="inlineStr">
        <is>
          <t>GATE_3_SOUS_ICP</t>
        </is>
      </c>
      <c r="D139" s="11" t="inlineStr">
        <is>
          <t>Salon d'orientation et de formation dont le public annonce est constitue d'eleves, d'etudiants et de leurs familles, hors cible entreprise.</t>
        </is>
      </c>
    </row>
    <row r="140">
      <c r="A140" s="10" t="inlineStr">
        <is>
          <t>Salon studyrama des formations du luxe</t>
        </is>
      </c>
      <c r="B140" s="10" t="inlineStr">
        <is>
          <t>https://www.cci-paris-idf.fr/fr/evenements-salons/salons-foires-paris-ile-de-france/salon-studyrama-des-formations-du-luxe</t>
        </is>
      </c>
      <c r="C140" s="10" t="inlineStr">
        <is>
          <t>GATE_3_SOUS_ICP</t>
        </is>
      </c>
      <c r="D140" s="11" t="inlineStr">
        <is>
          <t>Salon d'orientation et de formation dont le public annonce est constitue d'eleves, d'etudiants et de leurs familles, hors cible entreprise.</t>
        </is>
      </c>
    </row>
    <row r="141">
      <c r="A141" s="10" t="inlineStr">
        <is>
          <t>Salon studyrama des formations immobilières et BTP</t>
        </is>
      </c>
      <c r="B141" s="10" t="inlineStr">
        <is>
          <t>https://www.cci-paris-idf.fr/fr/evenements-salons/salons-foires-paris-ile-de-france/salon-studyrama-des-formations-immobilieres-et-btp</t>
        </is>
      </c>
      <c r="C141" s="10" t="inlineStr">
        <is>
          <t>GATE_3_SOUS_ICP</t>
        </is>
      </c>
      <c r="D141" s="11" t="inlineStr">
        <is>
          <t>Salon d'orientation et de formation dont le public annonce est constitue d'eleves, d'etudiants et de leurs familles, hors cible entreprise.</t>
        </is>
      </c>
    </row>
    <row r="142">
      <c r="A142" s="10" t="inlineStr">
        <is>
          <t>Salon studyrama des formations internationales et des séjours linguistiques</t>
        </is>
      </c>
      <c r="B142" s="10" t="inlineStr">
        <is>
          <t>https://www.cci-paris-idf.fr/fr/evenements-salons/salons-foires-paris-ile-de-france/salon-studyrama-des-formations-internationales-et-des-sejours-linguistiques</t>
        </is>
      </c>
      <c r="C142" s="10" t="inlineStr">
        <is>
          <t>GATE_3_SOUS_ICP</t>
        </is>
      </c>
      <c r="D142" s="11" t="inlineStr">
        <is>
          <t>Salon d'orientation et de formation dont le public annonce est constitue d'eleves, d'etudiants et de leurs familles, hors cible entreprise.</t>
        </is>
      </c>
    </row>
    <row r="143">
      <c r="A143" s="10" t="inlineStr">
        <is>
          <t>Salon studyrama des formations santé, paramédical &amp; social</t>
        </is>
      </c>
      <c r="B143" s="10" t="inlineStr">
        <is>
          <t>https://www.cci-paris-idf.fr/fr/evenements-salons/salons-foires-paris-ile-de-france/salon-studyrama-des-formations-sante-paramedical-social</t>
        </is>
      </c>
      <c r="C143" s="10" t="inlineStr">
        <is>
          <t>GATE_3_SOUS_ICP</t>
        </is>
      </c>
      <c r="D143" s="11" t="inlineStr">
        <is>
          <t>Salon d'orientation et de formation dont le public annonce est constitue d'eleves, d'etudiants et de leurs familles, hors cible entreprise.</t>
        </is>
      </c>
    </row>
    <row r="144">
      <c r="A144" s="10" t="inlineStr">
        <is>
          <t>Salon studyrama des masters, mastères et mba de Paris</t>
        </is>
      </c>
      <c r="B144" s="10" t="inlineStr">
        <is>
          <t>https://www.cci-paris-idf.fr/fr/evenements-salons/salons-foires-paris-ile-de-france/salon-studyrama-des-masters-masteres-et-mba-de-paris</t>
        </is>
      </c>
      <c r="C144" s="10" t="inlineStr">
        <is>
          <t>GATE_3_SOUS_ICP</t>
        </is>
      </c>
      <c r="D144" s="11" t="inlineStr">
        <is>
          <t>Salon d'orientation et de formation dont le public annonce est constitue d'eleves, d'etudiants et de leurs familles, hors cible entreprise.</t>
        </is>
      </c>
    </row>
    <row r="145">
      <c r="A145" s="10" t="inlineStr">
        <is>
          <t>Salon studyrama grandes écoles et prépas - Paris</t>
        </is>
      </c>
      <c r="B145" s="10" t="inlineStr">
        <is>
          <t>https://www.cci-paris-idf.fr/fr/evenements-salons/salons-foires-paris-ile-de-france/salon-studyrama-grandes-ecoles-et-prepas-paris</t>
        </is>
      </c>
      <c r="C145" s="10" t="inlineStr">
        <is>
          <t>GATE_3_SOUS_ICP</t>
        </is>
      </c>
      <c r="D145" s="11" t="inlineStr">
        <is>
          <t>Salon d'orientation et de formation dont le public annonce est constitue d'eleves, d'etudiants et de leurs familles, hors cible entreprise.</t>
        </is>
      </c>
    </row>
    <row r="146">
      <c r="A146" s="10" t="inlineStr">
        <is>
          <t>Semaine de l'industrie 2026 (16-22 novembre)</t>
        </is>
      </c>
      <c r="B146" s="10" t="inlineStr">
        <is>
          <t>https://www.entreprises.gouv.fr/semaine-de-lindustrie</t>
        </is>
      </c>
      <c r="C146" s="10" t="inlineStr">
        <is>
          <t>GATE_3_SOUS_ICP</t>
        </is>
      </c>
      <c r="D146" s="11" t="inlineStr">
        <is>
          <t>Operation nationale de label dont le public vise est scolaire et etudiant (visites d'entreprises, job dating, forums des metiers, interventions en classe) ; il ne s'agit pas d'un evenement unique localisable en Ile-de-France.</t>
        </is>
      </c>
    </row>
    <row r="147">
      <c r="A147" s="10" t="inlineStr">
        <is>
          <t>Un patron dans ma ville</t>
        </is>
      </c>
      <c r="B147" s="10" t="inlineStr">
        <is>
          <t>https://www.entreprises.cci-paris-idf.fr/evenements/un-patron-dans-ma-ville-0</t>
        </is>
      </c>
      <c r="C147" s="10" t="inlineStr">
        <is>
          <t>GATE_3_SOUS_ICP</t>
        </is>
      </c>
      <c r="D147" s="11" t="inlineStr">
        <is>
          <t>Dispositif de forum emploi / job dating visant a rapprocher les jeunes des quartiers prioritaires des dirigeants d'entreprise : public visiteur constitue de jeunes en insertion.</t>
        </is>
      </c>
    </row>
  </sheetData>
  <autoFilter ref="A1:D1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46" customWidth="1" min="1" max="1"/>
    <col width="32" customWidth="1" min="2" max="2"/>
    <col width="28" customWidth="1" min="3" max="3"/>
    <col width="38" customWidth="1" min="4" max="4"/>
    <col width="40" customWidth="1" min="5" max="5"/>
    <col width="72" customWidth="1" min="6" max="6"/>
  </cols>
  <sheetData>
    <row r="1" ht="30" customHeight="1">
      <c r="A1" s="9" t="inlineStr">
        <is>
          <t>nom_evenement</t>
        </is>
      </c>
      <c r="B1" s="9" t="inlineStr">
        <is>
          <t>organisateur</t>
        </is>
      </c>
      <c r="C1" s="9" t="inlineStr">
        <is>
          <t>periode_habituelle</t>
        </is>
      </c>
      <c r="D1" s="9" t="inlineStr">
        <is>
          <t>derniere_edition_connue</t>
        </is>
      </c>
      <c r="E1" s="9" t="inlineStr">
        <is>
          <t>url_source</t>
        </is>
      </c>
      <c r="F1" s="9" t="inlineStr">
        <is>
          <t>notes</t>
        </is>
      </c>
    </row>
    <row r="2">
      <c r="A2" s="10" t="inlineStr">
        <is>
          <t>Texcare France</t>
        </is>
      </c>
      <c r="B2" s="10" t="inlineStr">
        <is>
          <t>Messe Frankfurt France</t>
        </is>
      </c>
      <c r="C2" s="10" t="inlineStr">
        <is>
          <t>novembre, tous les deux ans (annees impaires)</t>
        </is>
      </c>
      <c r="D2" s="10" t="inlineStr">
        <is>
          <t>16-18 novembre 2025, Paris Expo Porte de Versailles, Hall 2.1</t>
        </is>
      </c>
      <c r="E2" s="10" t="inlineStr">
        <is>
          <t>https://www.cci-paris-idf.fr/fr/evenements-salons/salons-foires-paris-ile-de-france/texcare-france</t>
        </is>
      </c>
      <c r="F2" s="11" t="inlineStr">
        <is>
          <t>Le repertoire CCI Paris IDF annonce 'Du 7 novembre 2026 au 9 novembre 2027', plage incoherente (donnee source erronee). Les sources Messe Frankfurt ne confirment aucune edition 2026 ; le salon est biennal et la derniere edition connue est celle de novembre 2025. Edition 2026 non confirmee : sorti de la base principale.</t>
        </is>
      </c>
    </row>
    <row r="3">
      <c r="A3" s="10" t="inlineStr">
        <is>
          <t>Evenement CCI Paris IDF sans intitule publie (reference interne '763952')</t>
        </is>
      </c>
      <c r="B3" s="10" t="inlineStr">
        <is>
          <t>non identifié publiquement</t>
        </is>
      </c>
      <c r="C3" s="10" t="inlineStr">
        <is>
          <t>non identifié publiquement</t>
        </is>
      </c>
      <c r="D3" s="10" t="inlineStr">
        <is>
          <t>non identifié publiquement</t>
        </is>
      </c>
      <c r="E3" s="10" t="inlineStr">
        <is>
          <t>https://www.cci-paris-idf.fr/fr/node/29228</t>
        </is>
      </c>
      <c r="F3" s="11" t="inlineStr">
        <is>
          <t>Fiche du repertoire CCI datee du 9 au 10 decembre 2026 au Carreau du Temple, visitorat reserve aux professionnels, mais sans nom d'evenement publie (le champ titre contient l'identifiant '763952'). Impossible a qualifier sans invention : signale ici plutot qu'invente.</t>
        </is>
      </c>
    </row>
    <row r="4">
      <c r="A4" s="10" t="inlineStr">
        <is>
          <t>Diner des Decideurs e-Commerce (FEVAD)</t>
        </is>
      </c>
      <c r="B4" s="10" t="inlineStr">
        <is>
          <t>FEVAD - Federation du e-commerce et de la vente a distance</t>
        </is>
      </c>
      <c r="C4" s="10" t="inlineStr">
        <is>
          <t>octobre, en soiree (19h30-22h30)</t>
        </is>
      </c>
      <c r="D4" s="10" t="inlineStr">
        <is>
          <t>1er octobre 2025</t>
        </is>
      </c>
      <c r="E4" s="10" t="inlineStr">
        <is>
          <t>https://www.fevad.com/events/evenement-fevad-diner-des-decideurs-e-commerce-3/</t>
        </is>
      </c>
      <c r="F4" s="11" t="inlineStr">
        <is>
          <t>Rencontre exclusive reservee aux dirigeants (PDG, DG, directeurs de comite executif) du e-commerce. Aucune date 2026 publiee au 15/09/2026. Format et cible tres alignes avec l'ICP : a surveiller en priorite.</t>
        </is>
      </c>
    </row>
    <row r="5">
      <c r="A5" s="10" t="inlineStr">
        <is>
          <t>Congres de la FFB (Federation Francaise du Batiment) 2026</t>
        </is>
      </c>
      <c r="B5" s="10" t="inlineStr">
        <is>
          <t>Federation Francaise du Batiment</t>
        </is>
      </c>
      <c r="C5" s="10" t="inlineStr">
        <is>
          <t>non identifié publiquement</t>
        </is>
      </c>
      <c r="D5" s="10" t="inlineStr">
        <is>
          <t>non identifié publiquement</t>
        </is>
      </c>
      <c r="E5" s="10" t="inlineStr">
        <is>
          <t>https://www.polehabitat-ffb.com/actualites/agenda/entry-5284-congres-2026-de-la-ffb.html</t>
        </is>
      </c>
      <c r="F5" s="11" t="inlineStr">
        <is>
          <t>L'existence d'un congres FFB 2026 est confirmee par le Pole Habitat FFB mais ni la date ni le lieu ne sont publies sur les pages consultees au 15/09/2026. Le site ffbatiment.fr renvoie un 404 sur sa page agenda.</t>
        </is>
      </c>
    </row>
    <row r="6">
      <c r="A6" s="10" t="inlineStr">
        <is>
          <t>Congres annuel du CESIN</t>
        </is>
      </c>
      <c r="B6" s="10" t="inlineStr">
        <is>
          <t>CESIN - Club des Experts de la Securite de l'Information et du Numerique</t>
        </is>
      </c>
      <c r="C6" s="10" t="inlineStr">
        <is>
          <t>decembre</t>
        </is>
      </c>
      <c r="D6" s="10" t="inlineStr">
        <is>
          <t>13e congres, 2 et 3 decembre 2025, Reims</t>
        </is>
      </c>
      <c r="E6" s="10" t="inlineStr">
        <is>
          <t>https://www.cesin.fr/congres.html</t>
        </is>
      </c>
      <c r="F6" s="11" t="inlineStr">
        <is>
          <t>Aucune edition 2026 annoncee au 15/09/2026. Attention : la derniere edition connue s'est tenue hors Ile-de-France (Reims), le congres tourne en region. Public RSSI et DSI de grands comptes et ETI.</t>
        </is>
      </c>
    </row>
    <row r="7">
      <c r="A7" s="10" t="inlineStr">
        <is>
          <t>SHIFT AI - l'evenement du Hub France IA</t>
        </is>
      </c>
      <c r="B7" s="10" t="inlineStr">
        <is>
          <t>Hub France IA</t>
        </is>
      </c>
      <c r="C7" s="10" t="inlineStr">
        <is>
          <t>decembre</t>
        </is>
      </c>
      <c r="D7" s="10" t="inlineStr">
        <is>
          <t>10 decembre 2025, CNIT La Defense</t>
        </is>
      </c>
      <c r="E7" s="10" t="inlineStr">
        <is>
          <t>https://www.hub-franceia.fr/evenements-v2/</t>
        </is>
      </c>
      <c r="F7" s="11" t="inlineStr">
        <is>
          <t>Premiere edition en 2025 au CNIT La Defense (hebergee par GENERATION AI). Aucune edition 2026 annoncee sur l'agenda de l'organisateur au 15/09/2026. A surveiller en priorite : conference IA d'une journee en Ile-de-France.</t>
        </is>
      </c>
    </row>
    <row r="8">
      <c r="A8" s="10" t="inlineStr">
        <is>
          <t>Universite de l'ANDRH</t>
        </is>
      </c>
      <c r="B8" s="10" t="inlineStr">
        <is>
          <t>ANDRH - Association Nationale des DRH</t>
        </is>
      </c>
      <c r="C8" s="10" t="inlineStr">
        <is>
          <t>juin</t>
        </is>
      </c>
      <c r="D8" s="10" t="inlineStr">
        <is>
          <t>11 et 12 juin 2026, Pont du Gard</t>
        </is>
      </c>
      <c r="E8" s="10" t="inlineStr">
        <is>
          <t>https://www.andrh.fr/universite/2026</t>
        </is>
      </c>
      <c r="F8" s="11" t="inlineStr">
        <is>
          <t>Le grand rendez-vous annuel de l'ANDRH se tient en juin et hors Ile-de-France en 2026. L'agenda andrh.fr/evenements est rendu en JavaScript et renvoie 'Aucun resultat' au scraping : les evenements d'automne des groupes locaux ANDRH n'ont pas pu etre recenses.</t>
        </is>
      </c>
    </row>
    <row r="9">
      <c r="A9" s="10" t="inlineStr">
        <is>
          <t>Diner de gala annuel des adherents de l'EBG (EBG500)</t>
        </is>
      </c>
      <c r="B9" s="10" t="inlineStr">
        <is>
          <t>EBG - Electronic Business Group</t>
        </is>
      </c>
      <c r="C9" s="10" t="inlineStr">
        <is>
          <t>non identifié publiquement</t>
        </is>
      </c>
      <c r="D9" s="10" t="inlineStr">
        <is>
          <t>non identifié publiquement</t>
        </is>
      </c>
      <c r="E9" s="10" t="inlineStr">
        <is>
          <t>https://ebg500.ebg.net/</t>
        </is>
      </c>
      <c r="F9" s="11" t="inlineStr">
        <is>
          <t>L'EBG annonce 120 evenements par an pour ses communautes metiers (dont une categorie 'IA &amp; IAG'), mais son agenda ebg.net/events ne rend aucun intitule ni aucune date exploitable, meme avec rendu JavaScript : le composant de liste ne se charge pas. Source a fort potentiel, inexploitable en l'etat.</t>
        </is>
      </c>
    </row>
    <row r="10">
      <c r="A10" s="10" t="inlineStr">
        <is>
          <t>Medicen Day</t>
        </is>
      </c>
      <c r="B10" s="10" t="inlineStr">
        <is>
          <t>Medicen Paris Region</t>
        </is>
      </c>
      <c r="C10" s="10" t="inlineStr">
        <is>
          <t>octobre</t>
        </is>
      </c>
      <c r="D10" s="10" t="inlineStr">
        <is>
          <t>1er octobre 2025, Conseil regional d'Ile-de-France, Saint-Ouen (93)</t>
        </is>
      </c>
      <c r="E10" s="10" t="inlineStr">
        <is>
          <t>https://www.ayming.fr/newsroom/evenements/medicen-day/</t>
        </is>
      </c>
      <c r="F10" s="11" t="inlineStr">
        <is>
          <t>Aucune edition 2026 annoncee au 15/09/2026. Le site medicen.org renvoie un 404 sur sa page agenda. Evenement sante-innovation en Seine-Saint-Denis : a surveiller.</t>
        </is>
      </c>
    </row>
    <row r="11">
      <c r="A11" s="10" t="inlineStr">
        <is>
          <t>Evenements Cap Digital</t>
        </is>
      </c>
      <c r="B11" s="10" t="inlineStr">
        <is>
          <t>Cap Digital Paris-Region</t>
        </is>
      </c>
      <c r="C11" s="10" t="inlineStr">
        <is>
          <t>toute l'annee</t>
        </is>
      </c>
      <c r="D11" s="10" t="inlineStr">
        <is>
          <t>non identifié publiquement</t>
        </is>
      </c>
      <c r="E11" s="10" t="inlineStr">
        <is>
          <t>https://connect.capdigital.com/evenements/</t>
        </is>
      </c>
      <c r="F11" s="11" t="inlineStr">
        <is>
          <t>L'agenda de Cap Digital est heberge dans un espace adherents (connect.capdigital.com) inaccessible sans compte ; capdigital.com/evenements renvoie un 404. Pole de competitivite numerique le plus important d'Ile-de-France : trou de couverture assume et signale.</t>
        </is>
      </c>
    </row>
    <row r="12">
      <c r="A12" s="10" t="inlineStr">
        <is>
          <t>France is AI</t>
        </is>
      </c>
      <c r="B12" s="10" t="inlineStr">
        <is>
          <t>France Digitale</t>
        </is>
      </c>
      <c r="C12" s="10" t="inlineStr">
        <is>
          <t>novembre, a Station F</t>
        </is>
      </c>
      <c r="D12" s="10" t="inlineStr">
        <is>
          <t>non identifié publiquement</t>
        </is>
      </c>
      <c r="E12" s="10" t="inlineStr">
        <is>
          <t>https://expira.io/evenements</t>
        </is>
      </c>
      <c r="F12" s="11" t="inlineStr">
        <is>
          <t>Cite par l'agregateur Expira comme se tenant 'en novembre a Station F' mais aucune date 2026 n'est publiee. Forum IA de reference de l'ecosysteme startup francais : a surveiller en priorite.</t>
        </is>
      </c>
    </row>
    <row r="13">
      <c r="A13" s="10" t="inlineStr">
        <is>
          <t>MLOps Community Paris (meetups)</t>
        </is>
      </c>
      <c r="B13" s="10" t="inlineStr">
        <is>
          <t>MLOps Community</t>
        </is>
      </c>
      <c r="C13" s="10" t="inlineStr">
        <is>
          <t>meetups reguliers, locaux des sponsors en rotation</t>
        </is>
      </c>
      <c r="D13" s="10" t="inlineStr">
        <is>
          <t>10 juillet 2026, Paris</t>
        </is>
      </c>
      <c r="E13" s="10" t="inlineStr">
        <is>
          <t>https://expira.io/evenements</t>
        </is>
      </c>
      <c r="F13" s="11" t="inlineStr">
        <is>
          <t>Meetup gratuit sans lieu fixe (rotation chez les sponsors). Aucune date d'automne 2026 publiee. Format court tres aligne avec une offre de conseil IA.</t>
        </is>
      </c>
    </row>
    <row r="14">
      <c r="A14" s="10" t="inlineStr">
        <is>
          <t>Meetups IA parisiens (Paris NLP, MLOps Paris, Paris AI, Generative AI Paris, Machine Learning Paris, Paris AI Developers Group)</t>
        </is>
      </c>
      <c r="B14" s="10" t="inlineStr">
        <is>
          <t>Communautes Meetup.com</t>
        </is>
      </c>
      <c r="C14" s="10" t="inlineStr">
        <is>
          <t>mensuel a trimestriel</t>
        </is>
      </c>
      <c r="D14" s="10" t="inlineStr">
        <is>
          <t>non identifié publiquement</t>
        </is>
      </c>
      <c r="E14" s="10" t="inlineStr">
        <is>
          <t>https://www.meetup.com/fr-fr/mlops-paris/</t>
        </is>
      </c>
      <c r="F14" s="11" t="inlineStr">
        <is>
          <t>Six communautes IA actives identifiees a Paris. Leurs agendas sont publies sur meetup.com, dont les pages d'evenements sont rendues en JavaScript et n'ont pas pu etre extraites sans navigateur (serveur MCP Playwright indisponible sur ce poste). Gisement reel de formats courts non couvert.</t>
        </is>
      </c>
    </row>
    <row r="15">
      <c r="A15" s="10" t="inlineStr">
        <is>
          <t>Agendas des reseaux d'alumni (ESCP Alumni, HEC Alumni, ESSEC Alumni, AX Polytechnique)</t>
        </is>
      </c>
      <c r="B15" s="10" t="inlineStr">
        <is>
          <t>Associations d'alumni</t>
        </is>
      </c>
      <c r="C15" s="10" t="inlineStr">
        <is>
          <t>toute l'annee</t>
        </is>
      </c>
      <c r="D15" s="10" t="inlineStr">
        <is>
          <t>non identifié publiquement</t>
        </is>
      </c>
      <c r="E15" s="10" t="inlineStr">
        <is>
          <t>https://www.escpalumni.org/gene/main.php?base_id_ref2=20&amp;base=32</t>
        </is>
      </c>
      <c r="F15" s="11" t="inlineStr">
        <is>
          <t>Les calendriers alumni sont rendus en JavaScript et/ou reserves aux adherents connectes : une seule fiche a pu etre extraite cote serveur (soiree ESCP Alumni AURA a Saint-Etienne, hors IDF). Famille K non couverte de maniere exploitable.</t>
        </is>
      </c>
    </row>
    <row r="16">
      <c r="A16" s="10" t="inlineStr">
        <is>
          <t>Evenements clients PwC France</t>
        </is>
      </c>
      <c r="B16" s="10" t="inlineStr">
        <is>
          <t>PwC France</t>
        </is>
      </c>
      <c r="C16" s="10" t="inlineStr">
        <is>
          <t>toute l'annee</t>
        </is>
      </c>
      <c r="D16" s="10" t="inlineStr">
        <is>
          <t>non identifié publiquement</t>
        </is>
      </c>
      <c r="E16" s="10" t="inlineStr">
        <is>
          <t>https://evenements.pwc.fr/</t>
        </is>
      </c>
      <c r="F16" s="11" t="inlineStr">
        <is>
          <t>La plateforme evenements.pwc.fr renvoie un blocage automatise (HTTP 403) et exige JavaScript. Aucune fiche exploitable.</t>
        </is>
      </c>
    </row>
    <row r="17">
      <c r="A17" s="10" t="inlineStr">
        <is>
          <t>Deloitte Technology Fast 50 France</t>
        </is>
      </c>
      <c r="B17" s="10" t="inlineStr">
        <is>
          <t>Deloitte France</t>
        </is>
      </c>
      <c r="C17" s="10" t="inlineStr">
        <is>
          <t>automne</t>
        </is>
      </c>
      <c r="D17" s="10" t="inlineStr">
        <is>
          <t>non identifié publiquement</t>
        </is>
      </c>
      <c r="E17" s="10" t="inlineStr">
        <is>
          <t>https://deloittetechnologyfast50.awardsplatform.com/</t>
        </is>
      </c>
      <c r="F17" s="11" t="inlineStr">
        <is>
          <t>Le programme Technology Fast 50 existe dans plusieurs pays mais aucune date de ceremonie francaise 2026 n'a pu etre identifiee publiquement au 15/09/2026.</t>
        </is>
      </c>
    </row>
    <row r="18">
      <c r="A18" s="10" t="inlineStr">
        <is>
          <t>Evenements APM (Association Progres du Management)</t>
        </is>
      </c>
      <c r="B18" s="10" t="inlineStr">
        <is>
          <t>APM</t>
        </is>
      </c>
      <c r="C18" s="10" t="inlineStr">
        <is>
          <t>toute l'annee, clubs de dirigeants</t>
        </is>
      </c>
      <c r="D18" s="10" t="inlineStr">
        <is>
          <t>Convention internationale, mars 2026, Paris, 6 000 dirigeants</t>
        </is>
      </c>
      <c r="E18" s="10" t="inlineStr">
        <is>
          <t>https://evenements.apm.fr/events</t>
        </is>
      </c>
      <c r="F18" s="11" t="inlineStr">
        <is>
          <t>La page evenements.apm.fr/events est rendue en JavaScript et n'expose aucune fiche cote serveur. Reseau de 6 000 dirigeants : gisement ICP important non couvert.</t>
        </is>
      </c>
    </row>
  </sheetData>
  <autoFilter ref="A1:F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48" customWidth="1" min="1" max="1"/>
    <col width="96" customWidth="1" min="2" max="2"/>
  </cols>
  <sheetData>
    <row r="1" ht="30" customHeight="1">
      <c r="A1" s="9" t="inlineStr">
        <is>
          <t>nom_evenement</t>
        </is>
      </c>
      <c r="B1" s="9" t="inlineStr">
        <is>
          <t>nature_du_conflit</t>
        </is>
      </c>
    </row>
    <row r="2">
      <c r="A2" s="10" t="inlineStr">
        <is>
          <t>AI Engineer Paris 2026</t>
        </is>
      </c>
      <c r="B2" s="11" t="inlineStr">
        <is>
          <t>La base porte les 22-23 septembre 2026 ; le site officiel ai.engineer annonce les 23-24 septembre 2026 a Station F. A verifier.</t>
        </is>
      </c>
    </row>
    <row r="3">
      <c r="A3" s="10" t="inlineStr">
        <is>
          <t>Datadog Summit Paris 2026</t>
        </is>
      </c>
      <c r="B3" s="11" t="inlineStr">
        <is>
          <t>La base porte le 15 octobre 2026 ; le site officiel Datadog et l'agregateur annoncent les 14-15 octobre 2026. A verifier.</t>
        </is>
      </c>
    </row>
    <row r="4">
      <c r="A4" s="10" t="inlineStr">
        <is>
          <t>Dell Technologies Forum Paris 2026</t>
        </is>
      </c>
      <c r="B4" s="11" t="inlineStr">
        <is>
          <t>La base porte le 16 novembre 2026 ; les sources tierces annoncent le 17 novembre 2026. A verifier.</t>
        </is>
      </c>
    </row>
    <row r="5">
      <c r="A5" s="10" t="inlineStr">
        <is>
          <t>GreenTech Forum 2026</t>
        </is>
      </c>
      <c r="B5" s="11" t="inlineStr">
        <is>
          <t>Conflit resolu : l'organisateur confirme les 5-6 novembre 2026 a STATION F. Le lieu de la base (Palais des Congres, issu du repertoire CCI) est errone et a ete corrige.</t>
        </is>
      </c>
    </row>
    <row r="6">
      <c r="A6" s="10" t="inlineStr">
        <is>
          <t>Open Source Experience 2026</t>
        </is>
      </c>
      <c r="B6" s="11" t="inlineStr">
        <is>
          <t>La base porte les 8-10 decembre 2026 (source CCI) ; l'organisateur annonce les 9-10 decembre 2026. A verifier.</t>
        </is>
      </c>
    </row>
    <row r="7">
      <c r="A7" s="10" t="inlineStr">
        <is>
          <t>Paris AI Forum</t>
        </is>
      </c>
      <c r="B7" s="11" t="inlineStr">
        <is>
          <t>La base porte l'Auditorium Les Echos ; une source tierce annonce le Champ de Mars. Lieu a verifier.</t>
        </is>
      </c>
    </row>
    <row r="8">
      <c r="A8" s="10" t="inlineStr">
        <is>
          <t>ServiceNow World Forum Paris 2026</t>
        </is>
      </c>
      <c r="B8" s="11" t="inlineStr">
        <is>
          <t>La base porte le 1er decembre 2026 ; le site officiel ServiceNow annonce le 2 decembre 2026. A verifier.</t>
        </is>
      </c>
    </row>
    <row r="9">
      <c r="A9" s="10" t="inlineStr">
        <is>
          <t>Whisky Live Paris 2026</t>
        </is>
      </c>
      <c r="B9" s="11" t="inlineStr">
        <is>
          <t>La base porte les 26-28 septembre avec journee professionnelle le 28 ; la presse specialisee (mixologie.fr, All Spirits &amp; More) annonce une 22e edition sur deux jours, les 26 et 27 septembre. A verifier.</t>
        </is>
      </c>
    </row>
    <row r="10">
      <c r="A10" s="10" t="inlineStr">
        <is>
          <t>World Nuclear Exhibition (WNE) 2026</t>
        </is>
      </c>
      <c r="B10" s="11" t="inlineStr">
        <is>
          <t>Dates 7-9 decembre 2026 confirmees par deux sources independantes (CCI Paris IDF et agenda Viparis) ; une source tierce evoque une edition en novembre 2025, qui correspond a l'edition precedente.</t>
        </is>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2026-09-15T16:51:28Z</dcterms:created>
  <dcterms:modified xsi:type="dcterms:W3CDTF">2026-09-15T16:51:29Z</dcterms:modified>
</cp:coreProperties>
</file>